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Users\Rajini\Documents\"/>
    </mc:Choice>
  </mc:AlternateContent>
  <xr:revisionPtr revIDLastSave="0" documentId="8_{F7256A4A-05C2-4EEB-AF1A-2EFA62E08F70}" xr6:coauthVersionLast="47" xr6:coauthVersionMax="47" xr10:uidLastSave="{00000000-0000-0000-0000-000000000000}"/>
  <bookViews>
    <workbookView xWindow="-108" yWindow="-108" windowWidth="23256" windowHeight="12456" tabRatio="915" activeTab="7" xr2:uid="{4FC4CBE6-982A-425A-A951-D5F54DB52007}"/>
  </bookViews>
  <sheets>
    <sheet name="Creating Tables" sheetId="1" r:id="rId1"/>
    <sheet name="Conditional Format" sheetId="2" r:id="rId2"/>
    <sheet name="IF Function" sheetId="3" r:id="rId3"/>
    <sheet name="Database Functions" sheetId="4" r:id="rId4"/>
    <sheet name="Unique" sheetId="9" state="hidden" r:id="rId5"/>
    <sheet name="SORT FUNCTION" sheetId="10" state="hidden" r:id="rId6"/>
    <sheet name="FILTER FUNCTION" sheetId="11" state="hidden" r:id="rId7"/>
    <sheet name="Charts" sheetId="5" r:id="rId8"/>
    <sheet name="Sparklines" sheetId="6" r:id="rId9"/>
    <sheet name="Pivot Table Diagram" sheetId="7" state="hidden" r:id="rId10"/>
    <sheet name="Data" sheetId="8" r:id="rId11"/>
    <sheet name="LAB" sheetId="12" r:id="rId12"/>
  </sheets>
  <externalReferences>
    <externalReference r:id="rId13"/>
    <externalReference r:id="rId14"/>
    <externalReference r:id="rId15"/>
    <externalReference r:id="rId16"/>
    <externalReference r:id="rId17"/>
  </externalReferences>
  <definedNames>
    <definedName name="_xlnm._FilterDatabase" localSheetId="10" hidden="1">Data!$A$3:$V$68</definedName>
    <definedName name="_xlnm._FilterDatabase" localSheetId="3" hidden="1">'Database Functions'!$B$3:$G$33</definedName>
    <definedName name="Category" localSheetId="3">'[1]Database Functions'!$C$5:$C$62</definedName>
    <definedName name="Category" localSheetId="2">'[1]Database Functions'!$C$5:$C$62</definedName>
    <definedName name="Category">'[2]Database Functions'!$C$5:$C$62</definedName>
    <definedName name="CodeList">'[3]In List'!$C$2:$C$4</definedName>
    <definedName name="Division" localSheetId="3">'[1]Database Functions'!$B$5:$B$62</definedName>
    <definedName name="Division" localSheetId="2">'[1]Database Functions'!$B$5:$B$62</definedName>
    <definedName name="Division">'[2]Database Functions'!$B$5:$B$62</definedName>
    <definedName name="Gross_Margin" localSheetId="1">#REF!</definedName>
    <definedName name="Gross_Margin" localSheetId="10">#REF!</definedName>
    <definedName name="Gross_Margin" localSheetId="3">#REF!</definedName>
    <definedName name="Gross_Margin" localSheetId="2">#REF!</definedName>
    <definedName name="Gross_Margin" localSheetId="9">#REF!</definedName>
    <definedName name="Gross_Margin">#REF!</definedName>
    <definedName name="List" localSheetId="1">#REF!</definedName>
    <definedName name="List" localSheetId="10">#REF!</definedName>
    <definedName name="List" localSheetId="3">#REF!</definedName>
    <definedName name="List" localSheetId="2">#REF!</definedName>
    <definedName name="List" localSheetId="9">#REF!</definedName>
    <definedName name="List">#REF!</definedName>
    <definedName name="Number06">[3]!tblLottery[No6]</definedName>
    <definedName name="NumberCheck" localSheetId="3">[3]LotteryTable!$C1:INDEX(Number06,COUNT(Number06),1)</definedName>
    <definedName name="NumberCheck">[4]LotteryTable!$C1:INDEX(Number06,COUNT(Number06),1)</definedName>
    <definedName name="NumberCheckList">[3]LotteryList!$B1:INDEX([3]LotteryList!$G:$G,COUNTA([3]LotteryList!$G:$G),1)</definedName>
    <definedName name="Prod_Info">[5]Products!$A$3:$E$23</definedName>
    <definedName name="Q1soft" localSheetId="1">#REF!</definedName>
    <definedName name="Q1soft" localSheetId="3">#REF!</definedName>
    <definedName name="Q1soft" localSheetId="2">#REF!</definedName>
    <definedName name="Q1soft">#REF!</definedName>
    <definedName name="Total_Expenses" localSheetId="3">'[1]Database Functions'!$G$5:$G$62</definedName>
    <definedName name="Total_Expenses" localSheetId="2">'[1]Database Functions'!$G$5:$G$62</definedName>
    <definedName name="Total_Expenses">'[2]Database Functions'!$G$5:$G$62</definedName>
    <definedName name="vlookup_table" localSheetId="1">#REF!</definedName>
    <definedName name="vlookup_table" localSheetId="10">#REF!</definedName>
    <definedName name="vlookup_table" localSheetId="3">#REF!</definedName>
    <definedName name="vlookup_table" localSheetId="2">#REF!</definedName>
    <definedName name="vlookup_table" localSheetId="9">#REF!</definedName>
    <definedName name="vlookup_table">#REF!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6" i="8" l="1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35" i="8"/>
  <c r="U36" i="8"/>
  <c r="U37" i="8"/>
  <c r="U38" i="8"/>
  <c r="U39" i="8"/>
  <c r="U40" i="8"/>
  <c r="U41" i="8"/>
  <c r="U42" i="8"/>
  <c r="U43" i="8"/>
  <c r="U44" i="8"/>
  <c r="U45" i="8"/>
  <c r="U46" i="8"/>
  <c r="U47" i="8"/>
  <c r="U48" i="8"/>
  <c r="U49" i="8"/>
  <c r="U50" i="8"/>
  <c r="U51" i="8"/>
  <c r="U52" i="8"/>
  <c r="U53" i="8"/>
  <c r="U54" i="8"/>
  <c r="U55" i="8"/>
  <c r="U56" i="8"/>
  <c r="U57" i="8"/>
  <c r="U58" i="8"/>
  <c r="U59" i="8"/>
  <c r="U60" i="8"/>
  <c r="U61" i="8"/>
  <c r="U62" i="8"/>
  <c r="U63" i="8"/>
  <c r="U64" i="8"/>
  <c r="U65" i="8"/>
  <c r="U66" i="8"/>
  <c r="U67" i="8"/>
  <c r="U68" i="8"/>
  <c r="U5" i="8"/>
  <c r="U4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A2" i="5"/>
  <c r="F4" i="11" a="1"/>
  <c r="F4" i="11" s="1"/>
  <c r="G2" i="10" a="1"/>
  <c r="G2" i="10" s="1"/>
  <c r="A16" i="9" a="1"/>
  <c r="A16" i="9" s="1"/>
  <c r="K18" i="8"/>
  <c r="K17" i="8"/>
  <c r="K16" i="8"/>
  <c r="K15" i="8"/>
  <c r="K14" i="8"/>
  <c r="K13" i="8"/>
  <c r="K12" i="8"/>
  <c r="K11" i="8"/>
  <c r="K10" i="8"/>
  <c r="K9" i="8"/>
  <c r="K8" i="8"/>
  <c r="K7" i="8"/>
  <c r="K6" i="8"/>
  <c r="K5" i="8"/>
  <c r="K4" i="8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F8" i="3"/>
  <c r="F9" i="3"/>
  <c r="F10" i="3"/>
  <c r="F11" i="3"/>
  <c r="F12" i="3"/>
  <c r="F7" i="3"/>
  <c r="I4" i="11"/>
  <c r="H4" i="11"/>
  <c r="G4" i="11"/>
  <c r="J7" i="10"/>
  <c r="I7" i="10"/>
  <c r="H7" i="10"/>
  <c r="G7" i="10"/>
  <c r="J6" i="10"/>
  <c r="I6" i="10"/>
  <c r="H6" i="10"/>
  <c r="G6" i="10"/>
  <c r="J5" i="10"/>
  <c r="I5" i="10"/>
  <c r="H5" i="10"/>
  <c r="G5" i="10"/>
  <c r="J4" i="10"/>
  <c r="I4" i="10"/>
  <c r="H4" i="10"/>
  <c r="G4" i="10"/>
  <c r="J3" i="10"/>
  <c r="I3" i="10"/>
  <c r="H3" i="10"/>
  <c r="G3" i="10"/>
  <c r="J2" i="10"/>
  <c r="I2" i="10"/>
  <c r="H2" i="10"/>
  <c r="A18" i="9"/>
  <c r="A17" i="9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<sst xmlns="http://schemas.openxmlformats.org/spreadsheetml/2006/main" count="1789" uniqueCount="554">
  <si>
    <t xml:space="preserve">Creating Tables </t>
  </si>
  <si>
    <t>Emp ID</t>
  </si>
  <si>
    <t>Last Name</t>
  </si>
  <si>
    <t>First Name</t>
  </si>
  <si>
    <t>Dept</t>
  </si>
  <si>
    <t>E-mail</t>
  </si>
  <si>
    <t>Phone Ext</t>
  </si>
  <si>
    <t>Location</t>
  </si>
  <si>
    <t>Hire Date</t>
  </si>
  <si>
    <t>Pay Rate</t>
  </si>
  <si>
    <t>Smith</t>
  </si>
  <si>
    <t>Howard</t>
  </si>
  <si>
    <t>AT</t>
  </si>
  <si>
    <t>howards</t>
  </si>
  <si>
    <t>Building 1</t>
  </si>
  <si>
    <t>Gonzales</t>
  </si>
  <si>
    <t>Joe</t>
  </si>
  <si>
    <t>joeg</t>
  </si>
  <si>
    <t>Scote</t>
  </si>
  <si>
    <t>Gail</t>
  </si>
  <si>
    <t>gails</t>
  </si>
  <si>
    <t>Kane</t>
  </si>
  <si>
    <t>Sheryl</t>
  </si>
  <si>
    <t>AD</t>
  </si>
  <si>
    <t>sherylk</t>
  </si>
  <si>
    <t>Building 2</t>
  </si>
  <si>
    <t>Hapsbuch</t>
  </si>
  <si>
    <t>Kendrick</t>
  </si>
  <si>
    <t>AC</t>
  </si>
  <si>
    <t>kendrickh</t>
  </si>
  <si>
    <t>Henders</t>
  </si>
  <si>
    <t>Mark</t>
  </si>
  <si>
    <t>markh</t>
  </si>
  <si>
    <t>Atherton</t>
  </si>
  <si>
    <t>Katie</t>
  </si>
  <si>
    <t>HR</t>
  </si>
  <si>
    <t>katiea</t>
  </si>
  <si>
    <t>Building 3</t>
  </si>
  <si>
    <t>Bellwood</t>
  </si>
  <si>
    <t>Frank</t>
  </si>
  <si>
    <t>MK</t>
  </si>
  <si>
    <t>frankb</t>
  </si>
  <si>
    <t>Cooper</t>
  </si>
  <si>
    <t>Linda</t>
  </si>
  <si>
    <t>lindac</t>
  </si>
  <si>
    <t>Cronwith</t>
  </si>
  <si>
    <t>Brent</t>
  </si>
  <si>
    <t>brentc</t>
  </si>
  <si>
    <t>Simpson</t>
  </si>
  <si>
    <t>Sandrae</t>
  </si>
  <si>
    <t>MF</t>
  </si>
  <si>
    <t>sandraes</t>
  </si>
  <si>
    <t>Sindole</t>
  </si>
  <si>
    <t>Randy</t>
  </si>
  <si>
    <t>randys</t>
  </si>
  <si>
    <t>Ellen</t>
  </si>
  <si>
    <t>ellens</t>
  </si>
  <si>
    <t>Vuanuo</t>
  </si>
  <si>
    <t>Tuome</t>
  </si>
  <si>
    <t>tuomev</t>
  </si>
  <si>
    <t>Szcznyck</t>
  </si>
  <si>
    <t>Tadeuz</t>
  </si>
  <si>
    <t>tadeuzs</t>
  </si>
  <si>
    <t>Wu</t>
  </si>
  <si>
    <t>Tammy</t>
  </si>
  <si>
    <t>tammyw</t>
  </si>
  <si>
    <t>Kegler</t>
  </si>
  <si>
    <t>Pam</t>
  </si>
  <si>
    <t>pamk</t>
  </si>
  <si>
    <t>Bell</t>
  </si>
  <si>
    <t>Tom</t>
  </si>
  <si>
    <t>tomb</t>
  </si>
  <si>
    <t>Kellerman</t>
  </si>
  <si>
    <t>Tommie</t>
  </si>
  <si>
    <t>tomk</t>
  </si>
  <si>
    <t>Kourios</t>
  </si>
  <si>
    <t>Theo</t>
  </si>
  <si>
    <t>theok</t>
  </si>
  <si>
    <t>Dixon-Waite</t>
  </si>
  <si>
    <t>Sherrie</t>
  </si>
  <si>
    <t>sherried</t>
  </si>
  <si>
    <t>Boughton</t>
  </si>
  <si>
    <t>fboughton</t>
  </si>
  <si>
    <t>Miller</t>
  </si>
  <si>
    <t>Janet</t>
  </si>
  <si>
    <t>janetm</t>
  </si>
  <si>
    <t>Alstain</t>
  </si>
  <si>
    <t>Isolde</t>
  </si>
  <si>
    <t>isoldea</t>
  </si>
  <si>
    <t>Sammler</t>
  </si>
  <si>
    <t>marks</t>
  </si>
  <si>
    <t>Brwyne</t>
  </si>
  <si>
    <t>Melia</t>
  </si>
  <si>
    <t>meliab</t>
  </si>
  <si>
    <t>Barton</t>
  </si>
  <si>
    <t>Eileen</t>
  </si>
  <si>
    <t>eileenb</t>
  </si>
  <si>
    <t>Al-Sabah</t>
  </si>
  <si>
    <t>Daoud</t>
  </si>
  <si>
    <t>daouda</t>
  </si>
  <si>
    <t>Zostoc</t>
  </si>
  <si>
    <t>Melissa</t>
  </si>
  <si>
    <t>melissaz</t>
  </si>
  <si>
    <t>Mueller</t>
  </si>
  <si>
    <t>Ursula</t>
  </si>
  <si>
    <t>ursulam</t>
  </si>
  <si>
    <t>Fontaine</t>
  </si>
  <si>
    <t>Jean</t>
  </si>
  <si>
    <t>jeanf</t>
  </si>
  <si>
    <t>Corwick</t>
  </si>
  <si>
    <t>Rob</t>
  </si>
  <si>
    <t>robertc</t>
  </si>
  <si>
    <t>Franklin</t>
  </si>
  <si>
    <t>Larry</t>
  </si>
  <si>
    <t>larryf</t>
  </si>
  <si>
    <t>Judy</t>
  </si>
  <si>
    <t>judyc</t>
  </si>
  <si>
    <t>Chang</t>
  </si>
  <si>
    <t>Jessica</t>
  </si>
  <si>
    <t>jessc</t>
  </si>
  <si>
    <t>Mivelli</t>
  </si>
  <si>
    <t>Maria</t>
  </si>
  <si>
    <t>mariam</t>
  </si>
  <si>
    <t>Atherly</t>
  </si>
  <si>
    <t>Katherine</t>
  </si>
  <si>
    <t>kathya</t>
  </si>
  <si>
    <t>House</t>
  </si>
  <si>
    <t>Listing Price</t>
  </si>
  <si>
    <t>Town</t>
  </si>
  <si>
    <t>Square Feet</t>
  </si>
  <si>
    <t>Bedrooms</t>
  </si>
  <si>
    <t>Bathrooms</t>
  </si>
  <si>
    <t>House1</t>
  </si>
  <si>
    <t>Fayetteville</t>
  </si>
  <si>
    <t>House10</t>
  </si>
  <si>
    <t>Dewitt</t>
  </si>
  <si>
    <t>House100</t>
  </si>
  <si>
    <t>House101</t>
  </si>
  <si>
    <t>Jamesville</t>
  </si>
  <si>
    <t>House102</t>
  </si>
  <si>
    <t>Cicero</t>
  </si>
  <si>
    <t>House103</t>
  </si>
  <si>
    <t>House104</t>
  </si>
  <si>
    <t>Camillus</t>
  </si>
  <si>
    <t>House105</t>
  </si>
  <si>
    <t>Manlius</t>
  </si>
  <si>
    <t>House106</t>
  </si>
  <si>
    <t>House107</t>
  </si>
  <si>
    <t>House108</t>
  </si>
  <si>
    <t>House109</t>
  </si>
  <si>
    <t>House11</t>
  </si>
  <si>
    <t>House110</t>
  </si>
  <si>
    <t>House111</t>
  </si>
  <si>
    <t>House112</t>
  </si>
  <si>
    <t>House113</t>
  </si>
  <si>
    <t>House114</t>
  </si>
  <si>
    <t>House115</t>
  </si>
  <si>
    <t>House116</t>
  </si>
  <si>
    <t>House117</t>
  </si>
  <si>
    <t>House118</t>
  </si>
  <si>
    <t>House119</t>
  </si>
  <si>
    <t>House12</t>
  </si>
  <si>
    <t>House120</t>
  </si>
  <si>
    <t>House121</t>
  </si>
  <si>
    <t>House122</t>
  </si>
  <si>
    <t>House123</t>
  </si>
  <si>
    <t>House124</t>
  </si>
  <si>
    <t>House125</t>
  </si>
  <si>
    <t>House126</t>
  </si>
  <si>
    <t>House127</t>
  </si>
  <si>
    <t>House128</t>
  </si>
  <si>
    <t>House129</t>
  </si>
  <si>
    <t>House13</t>
  </si>
  <si>
    <t>House130</t>
  </si>
  <si>
    <t>House131</t>
  </si>
  <si>
    <t>House132</t>
  </si>
  <si>
    <t>House14</t>
  </si>
  <si>
    <t>House15</t>
  </si>
  <si>
    <t>House16</t>
  </si>
  <si>
    <t>House17</t>
  </si>
  <si>
    <t>House18</t>
  </si>
  <si>
    <t>House19</t>
  </si>
  <si>
    <t>House2</t>
  </si>
  <si>
    <t>House20</t>
  </si>
  <si>
    <t>House21</t>
  </si>
  <si>
    <t>House22</t>
  </si>
  <si>
    <t>House23</t>
  </si>
  <si>
    <t>House24</t>
  </si>
  <si>
    <t>House25</t>
  </si>
  <si>
    <t>House26</t>
  </si>
  <si>
    <t>House27</t>
  </si>
  <si>
    <t>House28</t>
  </si>
  <si>
    <t>House29</t>
  </si>
  <si>
    <t>House3</t>
  </si>
  <si>
    <t>House30</t>
  </si>
  <si>
    <t>House31</t>
  </si>
  <si>
    <t>House32</t>
  </si>
  <si>
    <t>House33</t>
  </si>
  <si>
    <t>House34</t>
  </si>
  <si>
    <t>House35</t>
  </si>
  <si>
    <t>House36</t>
  </si>
  <si>
    <t>House37</t>
  </si>
  <si>
    <t>House38</t>
  </si>
  <si>
    <t>House39</t>
  </si>
  <si>
    <t>House4</t>
  </si>
  <si>
    <t>House40</t>
  </si>
  <si>
    <t>House41</t>
  </si>
  <si>
    <t>House42</t>
  </si>
  <si>
    <t>House43</t>
  </si>
  <si>
    <t>House44</t>
  </si>
  <si>
    <t>House45</t>
  </si>
  <si>
    <t>House46</t>
  </si>
  <si>
    <t>House47</t>
  </si>
  <si>
    <t>House48</t>
  </si>
  <si>
    <t>House49</t>
  </si>
  <si>
    <t>House5</t>
  </si>
  <si>
    <t>House50</t>
  </si>
  <si>
    <t>House51</t>
  </si>
  <si>
    <t>House52</t>
  </si>
  <si>
    <t>House53</t>
  </si>
  <si>
    <t>House54</t>
  </si>
  <si>
    <t>House55</t>
  </si>
  <si>
    <t>House56</t>
  </si>
  <si>
    <t>House57</t>
  </si>
  <si>
    <t>House58</t>
  </si>
  <si>
    <t>House59</t>
  </si>
  <si>
    <t>House6</t>
  </si>
  <si>
    <t>House60</t>
  </si>
  <si>
    <t>House61</t>
  </si>
  <si>
    <t>House62</t>
  </si>
  <si>
    <t>House63</t>
  </si>
  <si>
    <t>House64</t>
  </si>
  <si>
    <t>House65</t>
  </si>
  <si>
    <t>House66</t>
  </si>
  <si>
    <t>House67</t>
  </si>
  <si>
    <t>House68</t>
  </si>
  <si>
    <t>House69</t>
  </si>
  <si>
    <t>House7</t>
  </si>
  <si>
    <t>House70</t>
  </si>
  <si>
    <t>House71</t>
  </si>
  <si>
    <t>House72</t>
  </si>
  <si>
    <t>House73</t>
  </si>
  <si>
    <t>House74</t>
  </si>
  <si>
    <t>House75</t>
  </si>
  <si>
    <t>House76</t>
  </si>
  <si>
    <t>House77</t>
  </si>
  <si>
    <t>House78</t>
  </si>
  <si>
    <t>House79</t>
  </si>
  <si>
    <t>House8</t>
  </si>
  <si>
    <t>House80</t>
  </si>
  <si>
    <t>House81</t>
  </si>
  <si>
    <t>House82</t>
  </si>
  <si>
    <t>House83</t>
  </si>
  <si>
    <t>House84</t>
  </si>
  <si>
    <t>House85</t>
  </si>
  <si>
    <t>House86</t>
  </si>
  <si>
    <t>House87</t>
  </si>
  <si>
    <t>House88</t>
  </si>
  <si>
    <t>House89</t>
  </si>
  <si>
    <t>House9</t>
  </si>
  <si>
    <t>House90</t>
  </si>
  <si>
    <t>House91</t>
  </si>
  <si>
    <t>House92</t>
  </si>
  <si>
    <t>House93</t>
  </si>
  <si>
    <t>House94</t>
  </si>
  <si>
    <t>House95</t>
  </si>
  <si>
    <t>House96</t>
  </si>
  <si>
    <t>House97</t>
  </si>
  <si>
    <t>House98</t>
  </si>
  <si>
    <t>House99</t>
  </si>
  <si>
    <t>Pear Company Sales - February 2023</t>
  </si>
  <si>
    <t>Monthly Goal:</t>
  </si>
  <si>
    <t>Sales Person</t>
  </si>
  <si>
    <t>Week 1</t>
  </si>
  <si>
    <t>Week 2</t>
  </si>
  <si>
    <t>Week 3</t>
  </si>
  <si>
    <t>Week 4</t>
  </si>
  <si>
    <t>Totals</t>
  </si>
  <si>
    <t>Was Goal Met?</t>
  </si>
  <si>
    <t>S. Sam</t>
  </si>
  <si>
    <t>E. Brown</t>
  </si>
  <si>
    <t>W. Dani</t>
  </si>
  <si>
    <t>M. Mayer</t>
  </si>
  <si>
    <t>S. Sandberg</t>
  </si>
  <si>
    <t>A. John</t>
  </si>
  <si>
    <t>Total Sales:</t>
  </si>
  <si>
    <t>Department Bonus of $850 per person</t>
  </si>
  <si>
    <t>Average Sales:</t>
  </si>
  <si>
    <t>Max Sales:</t>
  </si>
  <si>
    <t>Min Sales:</t>
  </si>
  <si>
    <t>Count of Sales:</t>
  </si>
  <si>
    <t>Pear Company - Q1 Expenses</t>
  </si>
  <si>
    <t>Division</t>
  </si>
  <si>
    <t>Category</t>
  </si>
  <si>
    <t>January</t>
  </si>
  <si>
    <t>February</t>
  </si>
  <si>
    <t>March</t>
  </si>
  <si>
    <t>Total Expenses</t>
  </si>
  <si>
    <t>East</t>
  </si>
  <si>
    <t>Technical Support</t>
  </si>
  <si>
    <t>Telephone</t>
  </si>
  <si>
    <t>Copying</t>
  </si>
  <si>
    <t>Overhead</t>
  </si>
  <si>
    <t>Software</t>
  </si>
  <si>
    <t>Maintenance</t>
  </si>
  <si>
    <t>Supplies</t>
  </si>
  <si>
    <t>Telemarketing</t>
  </si>
  <si>
    <t>Contractors</t>
  </si>
  <si>
    <t>Total Expense</t>
  </si>
  <si>
    <t>Consultants</t>
  </si>
  <si>
    <t>Rent</t>
  </si>
  <si>
    <t>Miscellaneous</t>
  </si>
  <si>
    <t>Advertising</t>
  </si>
  <si>
    <t>Clerical Support</t>
  </si>
  <si>
    <t>North</t>
  </si>
  <si>
    <t>AVG. Expense</t>
  </si>
  <si>
    <t>South</t>
  </si>
  <si>
    <t>Salaries</t>
  </si>
  <si>
    <t>West</t>
  </si>
  <si>
    <t>Customer Name</t>
  </si>
  <si>
    <t>Service Type</t>
  </si>
  <si>
    <t>Date</t>
  </si>
  <si>
    <t>Fife, Grant</t>
  </si>
  <si>
    <t>Tire Rotation</t>
  </si>
  <si>
    <t>Pruitt, Barbara</t>
  </si>
  <si>
    <t>Oil Change</t>
  </si>
  <si>
    <t>Horn, Frances</t>
  </si>
  <si>
    <t>30k mile service</t>
  </si>
  <si>
    <t>Barret, Alicia</t>
  </si>
  <si>
    <t>Brake Pads</t>
  </si>
  <si>
    <t>Larson, Lynn</t>
  </si>
  <si>
    <t>Snook, Anthony</t>
  </si>
  <si>
    <t>Transmission flush</t>
  </si>
  <si>
    <t>Brown,Charity</t>
  </si>
  <si>
    <t>One-time Only Customers</t>
  </si>
  <si>
    <t>Region</t>
  </si>
  <si>
    <t>Sales Rep</t>
  </si>
  <si>
    <t>Product</t>
  </si>
  <si>
    <t>Units</t>
  </si>
  <si>
    <t>Sorted</t>
  </si>
  <si>
    <t>Apple</t>
  </si>
  <si>
    <t>Fred</t>
  </si>
  <si>
    <t>Grape</t>
  </si>
  <si>
    <t>Amy</t>
  </si>
  <si>
    <t>Pear</t>
  </si>
  <si>
    <t>Sal</t>
  </si>
  <si>
    <t>Banana</t>
  </si>
  <si>
    <t>Fritz</t>
  </si>
  <si>
    <t>Sravan</t>
  </si>
  <si>
    <t xml:space="preserve">Sales Transactions </t>
  </si>
  <si>
    <t xml:space="preserve">North </t>
  </si>
  <si>
    <t>Stravan</t>
  </si>
  <si>
    <t>Sales Figures</t>
  </si>
  <si>
    <t>Salesperson</t>
  </si>
  <si>
    <t>R.Smith</t>
  </si>
  <si>
    <t>H. James</t>
  </si>
  <si>
    <t>S.O'Brian</t>
  </si>
  <si>
    <t>L. Carrie</t>
  </si>
  <si>
    <t>K. Dunn</t>
  </si>
  <si>
    <t>May</t>
  </si>
  <si>
    <t>June</t>
  </si>
  <si>
    <t>July</t>
  </si>
  <si>
    <t>Aug.</t>
  </si>
  <si>
    <t>Sept.</t>
  </si>
  <si>
    <t>Oct.</t>
  </si>
  <si>
    <t>Albertson, Kathy</t>
  </si>
  <si>
    <t>Allenson, Carol</t>
  </si>
  <si>
    <t>Altman, Zoey</t>
  </si>
  <si>
    <t>Bittiman, William</t>
  </si>
  <si>
    <t>Brennan, Michael</t>
  </si>
  <si>
    <t>Carlson, David</t>
  </si>
  <si>
    <t>Collman, Harry</t>
  </si>
  <si>
    <t>Counts, Elizabeth</t>
  </si>
  <si>
    <t>David, Chloe</t>
  </si>
  <si>
    <t>Davis, William</t>
  </si>
  <si>
    <t>Dumlao, Richard</t>
  </si>
  <si>
    <t>Farmer, Kim</t>
  </si>
  <si>
    <t>Ferguson, Elizabeth</t>
  </si>
  <si>
    <t>Flores, Tia</t>
  </si>
  <si>
    <t>Ford, Victor</t>
  </si>
  <si>
    <t>Hodges, Melissa</t>
  </si>
  <si>
    <t>Jameson, Robinson</t>
  </si>
  <si>
    <t>Kellerman, Frances</t>
  </si>
  <si>
    <t>Mark, Katharine</t>
  </si>
  <si>
    <t>Morrison, Thomas</t>
  </si>
  <si>
    <t>Moss, Pete</t>
  </si>
  <si>
    <t>Paul, Henry David</t>
  </si>
  <si>
    <t>Post, Melissa</t>
  </si>
  <si>
    <t>Robinson, Betty</t>
  </si>
  <si>
    <t>Shadow, Elizabeth</t>
  </si>
  <si>
    <t>Smith, Harold</t>
  </si>
  <si>
    <t>Thomas, Robert</t>
  </si>
  <si>
    <t>Thompson, Shannon</t>
  </si>
  <si>
    <t>Walters, Chris</t>
  </si>
  <si>
    <t>Zimmerman, Kate</t>
  </si>
  <si>
    <t>Order Details for December 2023</t>
  </si>
  <si>
    <t>Order ID</t>
  </si>
  <si>
    <t>Order Date</t>
  </si>
  <si>
    <t>Customer ID</t>
  </si>
  <si>
    <t>Address</t>
  </si>
  <si>
    <t>City</t>
  </si>
  <si>
    <t>State</t>
  </si>
  <si>
    <t>Country/Region</t>
  </si>
  <si>
    <t>Shipped Date</t>
  </si>
  <si>
    <t>Shipper Name</t>
  </si>
  <si>
    <t>Ship Name</t>
  </si>
  <si>
    <t>Ship City</t>
  </si>
  <si>
    <t>Ship State</t>
  </si>
  <si>
    <t>Ship Country/Region</t>
  </si>
  <si>
    <t>Product Name</t>
  </si>
  <si>
    <t>Unit Price</t>
  </si>
  <si>
    <t>Quantity</t>
  </si>
  <si>
    <t>Revenue</t>
  </si>
  <si>
    <t>Shipping Fee</t>
  </si>
  <si>
    <t>Company AA</t>
  </si>
  <si>
    <t>789 27th Street</t>
  </si>
  <si>
    <t>Las Vegas</t>
  </si>
  <si>
    <t>NV</t>
  </si>
  <si>
    <t>USA</t>
  </si>
  <si>
    <t>Mariya Sergienko</t>
  </si>
  <si>
    <t>Shipping Company B</t>
  </si>
  <si>
    <t>Karen Toh</t>
  </si>
  <si>
    <t>Beer</t>
  </si>
  <si>
    <t>Beverages</t>
  </si>
  <si>
    <t>Dried Plums</t>
  </si>
  <si>
    <t>Dried Fruit &amp; Nuts</t>
  </si>
  <si>
    <t>Company D</t>
  </si>
  <si>
    <t>123 4th Street</t>
  </si>
  <si>
    <t>New York</t>
  </si>
  <si>
    <t>NY</t>
  </si>
  <si>
    <t>Andrew Cencini</t>
  </si>
  <si>
    <t>Shipping Company A</t>
  </si>
  <si>
    <t>Christina Lee</t>
  </si>
  <si>
    <t>Dried Pears</t>
  </si>
  <si>
    <t>Dried Apples</t>
  </si>
  <si>
    <t>Company L</t>
  </si>
  <si>
    <t>123 12th Street</t>
  </si>
  <si>
    <t>John Edwards</t>
  </si>
  <si>
    <t>Chai</t>
  </si>
  <si>
    <t>Coffee</t>
  </si>
  <si>
    <t>Company H</t>
  </si>
  <si>
    <t>123 8th Street</t>
  </si>
  <si>
    <t>Portland</t>
  </si>
  <si>
    <t>OR</t>
  </si>
  <si>
    <t>Nancy Freehafer</t>
  </si>
  <si>
    <t>Shipping Company C</t>
  </si>
  <si>
    <t>Elizabeth Andersen</t>
  </si>
  <si>
    <t>Chocolate Biscuits Mix</t>
  </si>
  <si>
    <t>Baked Goods &amp; Mixes</t>
  </si>
  <si>
    <t>Company CC</t>
  </si>
  <si>
    <t>789 29th Street</t>
  </si>
  <si>
    <t>Denver</t>
  </si>
  <si>
    <t>CO</t>
  </si>
  <si>
    <t>Jan Kotas</t>
  </si>
  <si>
    <t>Soo Jung Lee</t>
  </si>
  <si>
    <t>Chocolate</t>
  </si>
  <si>
    <t>Candy</t>
  </si>
  <si>
    <t>Company C</t>
  </si>
  <si>
    <t>123 3rd Street</t>
  </si>
  <si>
    <t>Los Angelas</t>
  </si>
  <si>
    <t>CA</t>
  </si>
  <si>
    <t>Thomas Axerr</t>
  </si>
  <si>
    <t>Clam Chowder</t>
  </si>
  <si>
    <t>Soups</t>
  </si>
  <si>
    <t>Company F</t>
  </si>
  <si>
    <t>123 6th Street</t>
  </si>
  <si>
    <t>Milwaukee</t>
  </si>
  <si>
    <t>WI</t>
  </si>
  <si>
    <t>Michael Neipper</t>
  </si>
  <si>
    <t>Francisco Pérez-Olaeta</t>
  </si>
  <si>
    <t>Curry Sauce</t>
  </si>
  <si>
    <t>Sauces</t>
  </si>
  <si>
    <t>Company BB</t>
  </si>
  <si>
    <t>789 28th Street</t>
  </si>
  <si>
    <t>Memphis</t>
  </si>
  <si>
    <t>TN</t>
  </si>
  <si>
    <t>Anne Larsen</t>
  </si>
  <si>
    <t>Amritansh Raghav</t>
  </si>
  <si>
    <t>Company J</t>
  </si>
  <si>
    <t>123 10th Street</t>
  </si>
  <si>
    <t>Chicago</t>
  </si>
  <si>
    <t>IL</t>
  </si>
  <si>
    <t>Laura Giussani</t>
  </si>
  <si>
    <t>Roland Wacker</t>
  </si>
  <si>
    <t>Green Tea</t>
  </si>
  <si>
    <t>Company G</t>
  </si>
  <si>
    <t>123 7th Street</t>
  </si>
  <si>
    <t>Boise</t>
  </si>
  <si>
    <t>ID</t>
  </si>
  <si>
    <t>Ming-Yang Xie</t>
  </si>
  <si>
    <t>Boysenberry Spread</t>
  </si>
  <si>
    <t>Jams, Preserves</t>
  </si>
  <si>
    <t>Cajun Seasoning</t>
  </si>
  <si>
    <t>Condiments</t>
  </si>
  <si>
    <t>Company K</t>
  </si>
  <si>
    <t>123 11th Street</t>
  </si>
  <si>
    <t>Miami</t>
  </si>
  <si>
    <t>FL</t>
  </si>
  <si>
    <t>Peter Krschne</t>
  </si>
  <si>
    <t>Company A</t>
  </si>
  <si>
    <t>123 1st Street</t>
  </si>
  <si>
    <t>Seattle</t>
  </si>
  <si>
    <t>WA</t>
  </si>
  <si>
    <t>Anna Bedecs</t>
  </si>
  <si>
    <t>Crab Meat</t>
  </si>
  <si>
    <t>Canned Meat</t>
  </si>
  <si>
    <t>Company I</t>
  </si>
  <si>
    <t>123 9th Street</t>
  </si>
  <si>
    <t>Salt Lake City</t>
  </si>
  <si>
    <t>UT</t>
  </si>
  <si>
    <t>Robert Zare</t>
  </si>
  <si>
    <t>Sven Mortensen</t>
  </si>
  <si>
    <t>Ravioli</t>
  </si>
  <si>
    <t>Pasta</t>
  </si>
  <si>
    <t>Mozzarella</t>
  </si>
  <si>
    <t>Dairy Products</t>
  </si>
  <si>
    <t>Company Y</t>
  </si>
  <si>
    <t>789 25th Street</t>
  </si>
  <si>
    <t>John Rodman</t>
  </si>
  <si>
    <t>Scones</t>
  </si>
  <si>
    <t>Company Z</t>
  </si>
  <si>
    <t>789 26th Street</t>
  </si>
  <si>
    <t>Run Liu</t>
  </si>
  <si>
    <t>Olive Oil</t>
  </si>
  <si>
    <t>Oil</t>
  </si>
  <si>
    <t>Marmalade</t>
  </si>
  <si>
    <t>Long Grain Rice</t>
  </si>
  <si>
    <t>Grains</t>
  </si>
  <si>
    <t>Syrup</t>
  </si>
  <si>
    <t>Almonds</t>
  </si>
  <si>
    <t>Fruit Cocktail</t>
  </si>
  <si>
    <t>Fruit &amp; Veg</t>
  </si>
  <si>
    <t>Gnocchi</t>
  </si>
  <si>
    <t>My Grocery Store Chain</t>
  </si>
  <si>
    <t>Store Name</t>
  </si>
  <si>
    <t>Report_Date</t>
  </si>
  <si>
    <t>Reported_Sales</t>
  </si>
  <si>
    <t>INSTRUCTIONS</t>
  </si>
  <si>
    <t>Kosher Grocer</t>
  </si>
  <si>
    <t>Uptown</t>
  </si>
  <si>
    <t>Insert a pivot table (to a new sheet)</t>
  </si>
  <si>
    <t>Midtown</t>
  </si>
  <si>
    <t>Rename the sheet as Pivot2</t>
  </si>
  <si>
    <t>Downtown</t>
  </si>
  <si>
    <t>Name the table as StoreSales</t>
  </si>
  <si>
    <t>Suburb</t>
  </si>
  <si>
    <t>Apply the accounting number format</t>
  </si>
  <si>
    <t>Answer the following questions</t>
  </si>
  <si>
    <t>Highest grossing store:</t>
  </si>
  <si>
    <t>Highest grossing Region:</t>
  </si>
  <si>
    <t>Total sales for Kosher Grocer and Gourmet Grocer:</t>
  </si>
  <si>
    <t>Rite Grocer</t>
  </si>
  <si>
    <t>Gourmet Grocer</t>
  </si>
  <si>
    <t>Fair Grocer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</si>
</sst>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&quot;$&quot;#,##0.00"/>
    <numFmt numFmtId="168" formatCode="_(* #,##0_);_(* \(#,##0\);_(* &quot;-&quot;??_);_(@_)"/>
    <numFmt numFmtId="169" formatCode="_(&quot;$&quot;* #,##0_);_(&quot;$&quot;* \(#,##0\);_(&quot;$&quot;* &quot;-&quot;??_);_(@_)"/>
    <numFmt numFmtId="170" formatCode="&quot;$&quot;#,##0"/>
    <numFmt numFmtId="171" formatCode="0.00_);[Red]\(0.00\)"/>
    <numFmt numFmtId="172" formatCode="[$-409]mmmm\ yyyy;@"/>
    <numFmt numFmtId="173" formatCode="mm/dd/yy;@"/>
  </numFmts>
  <fonts count="37" x14ac:knownFonts="1">
    <font>
      <sz val="12"/>
      <color theme="1"/>
      <name val="Courier New"/>
      <family val="2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0"/>
      <name val="Arial"/>
      <family val="2"/>
    </font>
    <font>
      <b/>
      <sz val="13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8"/>
      <color theme="3"/>
      <name val="Calibri Light"/>
      <family val="1"/>
      <scheme val="maj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4"/>
      <color rgb="FF3F3F3F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2"/>
      <color theme="1"/>
      <name val="Courier New"/>
      <family val="3"/>
    </font>
  </fonts>
  <fills count="1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</patternFill>
    </fill>
    <fill>
      <patternFill patternType="solid">
        <fgColor theme="9"/>
        <bgColor theme="9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31">
    <xf numFmtId="0" fontId="0" fillId="0" borderId="0"/>
    <xf numFmtId="0" fontId="2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3" fillId="0" borderId="0"/>
    <xf numFmtId="0" fontId="5" fillId="0" borderId="0"/>
    <xf numFmtId="166" fontId="5" fillId="0" borderId="0" applyFont="0" applyFill="0" applyBorder="0" applyAlignment="0" applyProtection="0"/>
    <xf numFmtId="0" fontId="7" fillId="0" borderId="0"/>
    <xf numFmtId="0" fontId="5" fillId="10" borderId="0" applyNumberFormat="0" applyBorder="0" applyAlignment="0" applyProtection="0"/>
    <xf numFmtId="0" fontId="10" fillId="0" borderId="2" applyNumberFormat="0" applyFill="0" applyAlignment="0" applyProtection="0"/>
    <xf numFmtId="0" fontId="5" fillId="9" borderId="0" applyNumberFormat="0" applyBorder="0" applyAlignment="0" applyProtection="0"/>
    <xf numFmtId="0" fontId="5" fillId="8" borderId="0" applyNumberFormat="0" applyBorder="0" applyAlignment="0" applyProtection="0"/>
    <xf numFmtId="0" fontId="10" fillId="0" borderId="0" applyNumberFormat="0" applyFill="0" applyBorder="0" applyAlignment="0" applyProtection="0"/>
    <xf numFmtId="165" fontId="7" fillId="0" borderId="0" applyFont="0" applyFill="0" applyBorder="0" applyAlignment="0" applyProtection="0"/>
    <xf numFmtId="0" fontId="12" fillId="3" borderId="4" applyNumberFormat="0" applyAlignment="0" applyProtection="0"/>
    <xf numFmtId="0" fontId="5" fillId="7" borderId="0" applyNumberFormat="0" applyBorder="0" applyAlignment="0" applyProtection="0"/>
    <xf numFmtId="0" fontId="7" fillId="0" borderId="0"/>
    <xf numFmtId="0" fontId="5" fillId="11" borderId="0" applyNumberFormat="0" applyBorder="0" applyAlignment="0" applyProtection="0"/>
    <xf numFmtId="165" fontId="7" fillId="0" borderId="0" applyFont="0" applyFill="0" applyBorder="0" applyAlignment="0" applyProtection="0"/>
    <xf numFmtId="0" fontId="5" fillId="6" borderId="0" applyNumberFormat="0" applyBorder="0" applyAlignment="0" applyProtection="0"/>
    <xf numFmtId="0" fontId="14" fillId="4" borderId="0" applyNumberFormat="0" applyBorder="0" applyAlignment="0" applyProtection="0"/>
    <xf numFmtId="0" fontId="16" fillId="2" borderId="3" applyNumberFormat="0" applyAlignment="0" applyProtection="0"/>
    <xf numFmtId="0" fontId="18" fillId="0" borderId="0" applyNumberFormat="0" applyFill="0" applyBorder="0" applyAlignment="0" applyProtection="0"/>
    <xf numFmtId="165" fontId="5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20" fillId="0" borderId="0"/>
    <xf numFmtId="0" fontId="21" fillId="4" borderId="0" applyNumberFormat="0" applyBorder="0" applyAlignment="0" applyProtection="0"/>
    <xf numFmtId="0" fontId="21" fillId="13" borderId="0" applyNumberFormat="0" applyBorder="0" applyAlignment="0" applyProtection="0"/>
    <xf numFmtId="0" fontId="22" fillId="2" borderId="3" applyNumberFormat="0" applyAlignment="0" applyProtection="0"/>
    <xf numFmtId="0" fontId="23" fillId="3" borderId="4" applyNumberFormat="0" applyAlignment="0" applyProtection="0"/>
    <xf numFmtId="0" fontId="24" fillId="4" borderId="0" applyNumberFormat="0" applyBorder="0" applyAlignment="0" applyProtection="0"/>
    <xf numFmtId="0" fontId="22" fillId="2" borderId="3" applyNumberFormat="0" applyAlignment="0" applyProtection="0"/>
  </cellStyleXfs>
  <cellXfs count="95">
    <xf numFmtId="0" fontId="0" fillId="0" borderId="0" xfId="0"/>
    <xf numFmtId="0" fontId="3" fillId="0" borderId="0" xfId="3"/>
    <xf numFmtId="0" fontId="5" fillId="0" borderId="0" xfId="4"/>
    <xf numFmtId="168" fontId="0" fillId="0" borderId="0" xfId="5" applyNumberFormat="1" applyFont="1"/>
    <xf numFmtId="0" fontId="8" fillId="0" borderId="0" xfId="6" applyFont="1"/>
    <xf numFmtId="170" fontId="11" fillId="0" borderId="9" xfId="6" applyNumberFormat="1" applyFont="1" applyBorder="1" applyAlignment="1">
      <alignment horizontal="right" vertical="center"/>
    </xf>
    <xf numFmtId="0" fontId="6" fillId="7" borderId="9" xfId="14" applyFont="1" applyBorder="1" applyAlignment="1">
      <alignment vertical="top" wrapText="1"/>
    </xf>
    <xf numFmtId="0" fontId="8" fillId="0" borderId="9" xfId="6" applyFont="1" applyBorder="1" applyAlignment="1">
      <alignment horizontal="center" vertical="center"/>
    </xf>
    <xf numFmtId="0" fontId="8" fillId="0" borderId="0" xfId="15" applyFont="1"/>
    <xf numFmtId="0" fontId="8" fillId="0" borderId="0" xfId="15" applyFont="1" applyAlignment="1">
      <alignment horizontal="right"/>
    </xf>
    <xf numFmtId="0" fontId="11" fillId="0" borderId="0" xfId="15" applyFont="1" applyAlignment="1">
      <alignment horizontal="right"/>
    </xf>
    <xf numFmtId="165" fontId="5" fillId="0" borderId="9" xfId="17" applyFont="1" applyFill="1" applyBorder="1" applyAlignment="1"/>
    <xf numFmtId="0" fontId="11" fillId="0" borderId="0" xfId="15" applyFont="1" applyAlignment="1">
      <alignment horizontal="center"/>
    </xf>
    <xf numFmtId="165" fontId="11" fillId="0" borderId="0" xfId="17" applyFont="1" applyBorder="1" applyAlignment="1">
      <alignment horizontal="center"/>
    </xf>
    <xf numFmtId="164" fontId="15" fillId="4" borderId="9" xfId="19" applyNumberFormat="1" applyFont="1" applyBorder="1" applyAlignment="1">
      <alignment horizontal="center"/>
    </xf>
    <xf numFmtId="0" fontId="16" fillId="2" borderId="3" xfId="20" applyAlignment="1">
      <alignment horizontal="center"/>
    </xf>
    <xf numFmtId="165" fontId="12" fillId="3" borderId="4" xfId="13" applyNumberFormat="1" applyAlignment="1">
      <alignment horizontal="center"/>
    </xf>
    <xf numFmtId="0" fontId="12" fillId="3" borderId="4" xfId="13" applyAlignment="1">
      <alignment horizontal="center"/>
    </xf>
    <xf numFmtId="170" fontId="8" fillId="0" borderId="0" xfId="6" applyNumberFormat="1" applyFont="1"/>
    <xf numFmtId="0" fontId="5" fillId="0" borderId="0" xfId="4" applyAlignment="1">
      <alignment horizontal="left"/>
    </xf>
    <xf numFmtId="167" fontId="5" fillId="0" borderId="0" xfId="4" applyNumberFormat="1" applyAlignment="1">
      <alignment horizontal="right"/>
    </xf>
    <xf numFmtId="167" fontId="5" fillId="0" borderId="0" xfId="4" applyNumberFormat="1"/>
    <xf numFmtId="0" fontId="6" fillId="0" borderId="0" xfId="4" applyFont="1"/>
    <xf numFmtId="0" fontId="18" fillId="0" borderId="0" xfId="21"/>
    <xf numFmtId="0" fontId="20" fillId="0" borderId="0" xfId="24"/>
    <xf numFmtId="14" fontId="20" fillId="0" borderId="0" xfId="24" applyNumberFormat="1"/>
    <xf numFmtId="0" fontId="21" fillId="4" borderId="0" xfId="25"/>
    <xf numFmtId="0" fontId="21" fillId="13" borderId="0" xfId="26"/>
    <xf numFmtId="3" fontId="20" fillId="0" borderId="0" xfId="24" applyNumberFormat="1"/>
    <xf numFmtId="0" fontId="2" fillId="0" borderId="0" xfId="1"/>
    <xf numFmtId="0" fontId="10" fillId="0" borderId="0" xfId="23"/>
    <xf numFmtId="0" fontId="22" fillId="2" borderId="3" xfId="27"/>
    <xf numFmtId="0" fontId="15" fillId="14" borderId="20" xfId="24" applyFont="1" applyFill="1" applyBorder="1"/>
    <xf numFmtId="0" fontId="15" fillId="14" borderId="21" xfId="24" applyFont="1" applyFill="1" applyBorder="1"/>
    <xf numFmtId="0" fontId="15" fillId="14" borderId="22" xfId="24" applyFont="1" applyFill="1" applyBorder="1"/>
    <xf numFmtId="0" fontId="7" fillId="0" borderId="0" xfId="6"/>
    <xf numFmtId="0" fontId="21" fillId="4" borderId="0" xfId="29" applyFont="1"/>
    <xf numFmtId="0" fontId="25" fillId="0" borderId="0" xfId="0" applyFont="1"/>
    <xf numFmtId="0" fontId="20" fillId="0" borderId="0" xfId="0" applyFont="1"/>
    <xf numFmtId="14" fontId="20" fillId="0" borderId="0" xfId="0" applyNumberFormat="1" applyFont="1"/>
    <xf numFmtId="170" fontId="27" fillId="3" borderId="4" xfId="28" applyNumberFormat="1" applyFont="1"/>
    <xf numFmtId="0" fontId="19" fillId="0" borderId="0" xfId="0" applyFont="1"/>
    <xf numFmtId="0" fontId="19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28" fillId="3" borderId="4" xfId="28" applyFont="1" applyAlignment="1">
      <alignment horizontal="left"/>
    </xf>
    <xf numFmtId="0" fontId="13" fillId="9" borderId="2" xfId="8" applyFont="1" applyFill="1" applyAlignment="1">
      <alignment horizontal="center"/>
    </xf>
    <xf numFmtId="0" fontId="30" fillId="0" borderId="0" xfId="6" applyFont="1"/>
    <xf numFmtId="0" fontId="13" fillId="9" borderId="7" xfId="9" applyFont="1" applyBorder="1" applyAlignment="1">
      <alignment horizontal="center"/>
    </xf>
    <xf numFmtId="0" fontId="13" fillId="5" borderId="8" xfId="11" applyFont="1" applyFill="1" applyBorder="1" applyAlignment="1">
      <alignment horizontal="right"/>
    </xf>
    <xf numFmtId="169" fontId="30" fillId="0" borderId="9" xfId="12" applyNumberFormat="1" applyFont="1" applyBorder="1" applyAlignment="1">
      <alignment horizontal="left"/>
    </xf>
    <xf numFmtId="170" fontId="31" fillId="0" borderId="10" xfId="12" applyNumberFormat="1" applyFont="1" applyBorder="1" applyAlignment="1">
      <alignment horizontal="center"/>
    </xf>
    <xf numFmtId="171" fontId="27" fillId="3" borderId="4" xfId="13" applyNumberFormat="1" applyFont="1" applyAlignment="1">
      <alignment horizontal="center"/>
    </xf>
    <xf numFmtId="0" fontId="13" fillId="5" borderId="11" xfId="11" applyFont="1" applyFill="1" applyBorder="1" applyAlignment="1">
      <alignment horizontal="right"/>
    </xf>
    <xf numFmtId="169" fontId="30" fillId="0" borderId="12" xfId="12" applyNumberFormat="1" applyFont="1" applyBorder="1" applyAlignment="1">
      <alignment horizontal="left"/>
    </xf>
    <xf numFmtId="0" fontId="13" fillId="5" borderId="13" xfId="11" applyFont="1" applyFill="1" applyBorder="1" applyAlignment="1">
      <alignment horizontal="right"/>
    </xf>
    <xf numFmtId="169" fontId="30" fillId="0" borderId="14" xfId="12" applyNumberFormat="1" applyFont="1" applyBorder="1" applyAlignment="1">
      <alignment horizontal="left"/>
    </xf>
    <xf numFmtId="0" fontId="32" fillId="0" borderId="0" xfId="11" applyFont="1" applyAlignment="1">
      <alignment horizontal="center"/>
    </xf>
    <xf numFmtId="170" fontId="30" fillId="0" borderId="0" xfId="6" applyNumberFormat="1" applyFont="1" applyAlignment="1">
      <alignment horizontal="center"/>
    </xf>
    <xf numFmtId="0" fontId="30" fillId="0" borderId="0" xfId="3" applyFont="1" applyAlignment="1">
      <alignment horizontal="center"/>
    </xf>
    <xf numFmtId="14" fontId="30" fillId="0" borderId="0" xfId="3" applyNumberFormat="1" applyFont="1" applyAlignment="1">
      <alignment horizontal="center"/>
    </xf>
    <xf numFmtId="167" fontId="30" fillId="0" borderId="0" xfId="3" applyNumberFormat="1" applyFont="1" applyAlignment="1">
      <alignment horizontal="center"/>
    </xf>
    <xf numFmtId="0" fontId="33" fillId="0" borderId="0" xfId="4" applyFont="1" applyAlignment="1">
      <alignment horizontal="center"/>
    </xf>
    <xf numFmtId="168" fontId="33" fillId="0" borderId="0" xfId="5" applyNumberFormat="1" applyFont="1" applyAlignment="1">
      <alignment horizontal="center"/>
    </xf>
    <xf numFmtId="168" fontId="33" fillId="0" borderId="0" xfId="4" applyNumberFormat="1" applyFont="1" applyAlignment="1">
      <alignment horizontal="center"/>
    </xf>
    <xf numFmtId="0" fontId="9" fillId="0" borderId="0" xfId="1" applyFont="1" applyBorder="1" applyAlignment="1">
      <alignment horizontal="center"/>
    </xf>
    <xf numFmtId="0" fontId="29" fillId="0" borderId="1" xfId="2" applyFont="1" applyAlignment="1">
      <alignment horizontal="right"/>
    </xf>
    <xf numFmtId="0" fontId="6" fillId="12" borderId="0" xfId="4" applyFont="1" applyFill="1" applyAlignment="1">
      <alignment horizontal="center"/>
    </xf>
    <xf numFmtId="0" fontId="5" fillId="0" borderId="0" xfId="4" applyAlignment="1">
      <alignment horizontal="center"/>
    </xf>
    <xf numFmtId="173" fontId="5" fillId="0" borderId="0" xfId="4" applyNumberFormat="1" applyAlignment="1">
      <alignment horizontal="center"/>
    </xf>
    <xf numFmtId="167" fontId="1" fillId="0" borderId="0" xfId="22" applyNumberFormat="1" applyFont="1" applyAlignment="1">
      <alignment horizontal="center"/>
    </xf>
    <xf numFmtId="167" fontId="5" fillId="0" borderId="0" xfId="4" applyNumberFormat="1" applyAlignment="1">
      <alignment horizontal="center"/>
    </xf>
    <xf numFmtId="0" fontId="26" fillId="4" borderId="5" xfId="29" applyFont="1" applyBorder="1" applyAlignment="1">
      <alignment horizontal="center"/>
    </xf>
    <xf numFmtId="168" fontId="26" fillId="4" borderId="5" xfId="29" applyNumberFormat="1" applyFont="1" applyBorder="1" applyAlignment="1">
      <alignment horizontal="center"/>
    </xf>
    <xf numFmtId="167" fontId="22" fillId="2" borderId="3" xfId="30" applyNumberFormat="1"/>
    <xf numFmtId="0" fontId="36" fillId="0" borderId="0" xfId="0" applyFont="1"/>
    <xf numFmtId="164" fontId="13" fillId="0" borderId="9" xfId="10" applyNumberFormat="1" applyFont="1" applyFill="1" applyBorder="1" applyAlignment="1">
      <alignment horizontal="center"/>
    </xf>
    <xf numFmtId="0" fontId="13" fillId="0" borderId="9" xfId="10" applyFont="1" applyFill="1" applyBorder="1" applyAlignment="1">
      <alignment horizontal="center"/>
    </xf>
    <xf numFmtId="165" fontId="5" fillId="0" borderId="9" xfId="16" applyNumberFormat="1" applyFill="1" applyBorder="1" applyAlignment="1">
      <alignment horizontal="left"/>
    </xf>
    <xf numFmtId="166" fontId="5" fillId="0" borderId="9" xfId="16" applyNumberFormat="1" applyFill="1" applyBorder="1" applyAlignment="1">
      <alignment horizontal="left"/>
    </xf>
    <xf numFmtId="165" fontId="5" fillId="0" borderId="9" xfId="18" applyNumberFormat="1" applyFill="1" applyBorder="1" applyAlignment="1"/>
    <xf numFmtId="0" fontId="35" fillId="4" borderId="0" xfId="29" applyFont="1" applyAlignment="1">
      <alignment horizontal="center"/>
    </xf>
    <xf numFmtId="0" fontId="26" fillId="4" borderId="6" xfId="29" applyFont="1" applyBorder="1" applyAlignment="1">
      <alignment horizontal="center"/>
    </xf>
    <xf numFmtId="0" fontId="6" fillId="7" borderId="15" xfId="14" applyFont="1" applyBorder="1" applyAlignment="1">
      <alignment horizontal="center" vertical="center"/>
    </xf>
    <xf numFmtId="0" fontId="6" fillId="7" borderId="16" xfId="14" applyFont="1" applyBorder="1" applyAlignment="1">
      <alignment horizontal="center" vertical="center"/>
    </xf>
    <xf numFmtId="0" fontId="34" fillId="4" borderId="17" xfId="29" applyFont="1" applyBorder="1" applyAlignment="1">
      <alignment horizontal="center" vertical="center"/>
    </xf>
    <xf numFmtId="0" fontId="34" fillId="4" borderId="18" xfId="29" applyFont="1" applyBorder="1" applyAlignment="1">
      <alignment horizontal="center" vertical="center"/>
    </xf>
    <xf numFmtId="0" fontId="34" fillId="4" borderId="19" xfId="29" applyFont="1" applyBorder="1" applyAlignment="1">
      <alignment horizontal="center" vertical="center"/>
    </xf>
    <xf numFmtId="0" fontId="17" fillId="0" borderId="0" xfId="1" applyFont="1" applyAlignment="1">
      <alignment horizontal="center"/>
    </xf>
    <xf numFmtId="172" fontId="17" fillId="0" borderId="0" xfId="1" applyNumberFormat="1" applyFont="1" applyAlignment="1">
      <alignment horizontal="center"/>
    </xf>
    <xf numFmtId="0" fontId="19" fillId="0" borderId="0" xfId="4" applyFont="1"/>
    <xf numFmtId="0" fontId="26" fillId="4" borderId="0" xfId="29" applyFont="1" applyAlignment="1">
      <alignment horizontal="left"/>
    </xf>
    <xf numFmtId="0" fontId="26" fillId="4" borderId="0" xfId="29" applyFont="1" applyAlignment="1">
      <alignment horizontal="center" vertical="center" wrapText="1"/>
    </xf>
    <xf numFmtId="0" fontId="23" fillId="3" borderId="4" xfId="28" applyAlignment="1">
      <alignment horizontal="center"/>
    </xf>
    <xf numFmtId="0" fontId="26" fillId="4" borderId="0" xfId="29" applyFont="1" applyAlignment="1">
      <alignment horizontal="center"/>
    </xf>
    <xf numFmtId="0" fontId="19" fillId="0" borderId="0" xfId="0" applyFont="1" applyAlignment="1">
      <alignment horizontal="left"/>
    </xf>
  </cellXfs>
  <cellStyles count="31">
    <cellStyle name="20% - Accent2 2" xfId="18" xr:uid="{43995203-A883-413A-B3DB-B4C0B1E80CD4}"/>
    <cellStyle name="20% - Accent3 2" xfId="14" xr:uid="{58B073A7-E95D-4E30-8E9C-F0D151E46D1E}"/>
    <cellStyle name="20% - Accent4 2" xfId="9" xr:uid="{2DD3F04E-3A9D-41E0-95EB-0980FE501AC1}"/>
    <cellStyle name="20% - Accent6 2" xfId="16" xr:uid="{E32380E0-F8CF-4EEC-AA3B-F7622BD0C04A}"/>
    <cellStyle name="40% - Accent3 2" xfId="10" xr:uid="{AA2310A4-8E29-40E7-BEEB-5DD4FF5DB509}"/>
    <cellStyle name="40% - Accent5 2" xfId="7" xr:uid="{FEF36B6C-DC24-40F1-97B1-974775BA8E60}"/>
    <cellStyle name="Accent1" xfId="29" builtinId="29"/>
    <cellStyle name="Accent1 2" xfId="19" xr:uid="{5059306A-ACCC-4D53-B60D-D76E9AC45A84}"/>
    <cellStyle name="Accent1 3" xfId="25" xr:uid="{151C389B-24FD-4D67-A014-B9CD94F9F029}"/>
    <cellStyle name="Accent6 2" xfId="26" xr:uid="{412CABBF-BA43-4A96-AF0F-C332D3AA7FC9}"/>
    <cellStyle name="Comma 2" xfId="5" xr:uid="{0F6A3A5A-8FC8-410D-921E-D9A7785419F7}"/>
    <cellStyle name="Currency 2" xfId="12" xr:uid="{648998A3-C6EF-42BD-8A53-2BDEF1AFD9D4}"/>
    <cellStyle name="Currency 2 2" xfId="17" xr:uid="{2FD7DBE2-8F49-4304-8118-9D128F42734A}"/>
    <cellStyle name="Currency 2 2 2" xfId="22" xr:uid="{1CF54961-F867-4064-80CE-7DD9091D4188}"/>
    <cellStyle name="Heading 2" xfId="2" builtinId="17"/>
    <cellStyle name="Heading 3 2" xfId="8" xr:uid="{57F07A40-8416-4976-AFD9-A44585828B13}"/>
    <cellStyle name="Heading 4" xfId="23" builtinId="19"/>
    <cellStyle name="Heading 4 2" xfId="11" xr:uid="{9F80445A-C417-432F-A4D5-60F6BCFCE793}"/>
    <cellStyle name="Hyperlink" xfId="21" builtinId="8"/>
    <cellStyle name="Input" xfId="30" builtinId="20"/>
    <cellStyle name="Input 2" xfId="20" xr:uid="{5E4FD748-E6FE-4039-986E-0DD920653F81}"/>
    <cellStyle name="Input 3" xfId="27" xr:uid="{21158AE7-E046-4E8A-8073-ABB39E8D5432}"/>
    <cellStyle name="Normal" xfId="0" builtinId="0"/>
    <cellStyle name="Normal 2" xfId="3" xr:uid="{AC87F404-2326-45EB-9AF9-03941A22E771}"/>
    <cellStyle name="Normal 2 2" xfId="6" xr:uid="{44AABCCB-EA19-4107-82F0-304D264E179C}"/>
    <cellStyle name="Normal 3" xfId="4" xr:uid="{8D1B4C21-9C3B-4F4A-A04F-DDDF939B6CBD}"/>
    <cellStyle name="Normal 4" xfId="15" xr:uid="{517FF50D-F3D1-4126-92C1-EE7EDC0BF588}"/>
    <cellStyle name="Normal 5" xfId="24" xr:uid="{DF15918B-C164-43F6-87F8-23F3933C43D4}"/>
    <cellStyle name="Output" xfId="28" builtinId="21"/>
    <cellStyle name="Output 2" xfId="13" xr:uid="{A51BCCE9-C388-4877-8CA1-49898EF39442}"/>
    <cellStyle name="Title" xfId="1" builtinId="15"/>
  </cellStyles>
  <dxfs count="11"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&quot;$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&quot;$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&quot;$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&quot;$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&quot;$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&quot;$&quot;#,##0.0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numFmt numFmtId="3" formatCode="#,##0"/>
    </dxf>
    <dxf>
      <numFmt numFmtId="17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weekly</a:t>
            </a:r>
            <a:r>
              <a:rPr lang="en-IN" baseline="0"/>
              <a:t> sales comparision -february 2024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Charts!$B$4</c:f>
              <c:strCache>
                <c:ptCount val="1"/>
                <c:pt idx="0">
                  <c:v>Week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Charts!$A$5:$A$9</c:f>
              <c:strCache>
                <c:ptCount val="5"/>
                <c:pt idx="0">
                  <c:v>R.Smith</c:v>
                </c:pt>
                <c:pt idx="1">
                  <c:v>H. James</c:v>
                </c:pt>
                <c:pt idx="2">
                  <c:v>S.O'Brian</c:v>
                </c:pt>
                <c:pt idx="3">
                  <c:v>L. Carrie</c:v>
                </c:pt>
                <c:pt idx="4">
                  <c:v>K. Dunn</c:v>
                </c:pt>
              </c:strCache>
            </c:strRef>
          </c:cat>
          <c:val>
            <c:numRef>
              <c:f>Charts!$B$5:$B$9</c:f>
              <c:numCache>
                <c:formatCode>"$"#,##0</c:formatCode>
                <c:ptCount val="5"/>
                <c:pt idx="0">
                  <c:v>4520</c:v>
                </c:pt>
                <c:pt idx="1">
                  <c:v>3220</c:v>
                </c:pt>
                <c:pt idx="2">
                  <c:v>4560</c:v>
                </c:pt>
                <c:pt idx="3">
                  <c:v>5600</c:v>
                </c:pt>
                <c:pt idx="4">
                  <c:v>2330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55-4048-88B1-642BEFB340B6}"/>
            </c:ext>
          </c:extLst>
        </c:ser>
        <c:ser>
          <c:idx val="1"/>
          <c:order val="1"/>
          <c:tx>
            <c:strRef>
              <c:f>Charts!$C$4</c:f>
              <c:strCache>
                <c:ptCount val="1"/>
                <c:pt idx="0">
                  <c:v>Week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Charts!$A$5:$A$9</c:f>
              <c:strCache>
                <c:ptCount val="5"/>
                <c:pt idx="0">
                  <c:v>R.Smith</c:v>
                </c:pt>
                <c:pt idx="1">
                  <c:v>H. James</c:v>
                </c:pt>
                <c:pt idx="2">
                  <c:v>S.O'Brian</c:v>
                </c:pt>
                <c:pt idx="3">
                  <c:v>L. Carrie</c:v>
                </c:pt>
                <c:pt idx="4">
                  <c:v>K. Dunn</c:v>
                </c:pt>
              </c:strCache>
            </c:strRef>
          </c:cat>
          <c:val>
            <c:numRef>
              <c:f>Charts!$C$5:$C$9</c:f>
              <c:numCache>
                <c:formatCode>"$"#,##0</c:formatCode>
                <c:ptCount val="5"/>
                <c:pt idx="0">
                  <c:v>3620</c:v>
                </c:pt>
                <c:pt idx="1">
                  <c:v>5230</c:v>
                </c:pt>
                <c:pt idx="2">
                  <c:v>2320</c:v>
                </c:pt>
                <c:pt idx="3">
                  <c:v>6510</c:v>
                </c:pt>
                <c:pt idx="4">
                  <c:v>4520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55-4048-88B1-642BEFB340B6}"/>
            </c:ext>
          </c:extLst>
        </c:ser>
        <c:ser>
          <c:idx val="2"/>
          <c:order val="2"/>
          <c:tx>
            <c:strRef>
              <c:f>Charts!$D$4</c:f>
              <c:strCache>
                <c:ptCount val="1"/>
                <c:pt idx="0">
                  <c:v>Week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Charts!$A$5:$A$9</c:f>
              <c:strCache>
                <c:ptCount val="5"/>
                <c:pt idx="0">
                  <c:v>R.Smith</c:v>
                </c:pt>
                <c:pt idx="1">
                  <c:v>H. James</c:v>
                </c:pt>
                <c:pt idx="2">
                  <c:v>S.O'Brian</c:v>
                </c:pt>
                <c:pt idx="3">
                  <c:v>L. Carrie</c:v>
                </c:pt>
                <c:pt idx="4">
                  <c:v>K. Dunn</c:v>
                </c:pt>
              </c:strCache>
            </c:strRef>
          </c:cat>
          <c:val>
            <c:numRef>
              <c:f>Charts!$D$5:$D$9</c:f>
              <c:numCache>
                <c:formatCode>"$"#,##0</c:formatCode>
                <c:ptCount val="5"/>
                <c:pt idx="0">
                  <c:v>2560</c:v>
                </c:pt>
                <c:pt idx="1">
                  <c:v>4550</c:v>
                </c:pt>
                <c:pt idx="2">
                  <c:v>3220</c:v>
                </c:pt>
                <c:pt idx="3">
                  <c:v>5660</c:v>
                </c:pt>
                <c:pt idx="4">
                  <c:v>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55-4048-88B1-642BEFB340B6}"/>
            </c:ext>
          </c:extLst>
        </c:ser>
        <c:ser>
          <c:idx val="3"/>
          <c:order val="3"/>
          <c:tx>
            <c:strRef>
              <c:f>Charts!$E$4</c:f>
              <c:strCache>
                <c:ptCount val="1"/>
                <c:pt idx="0">
                  <c:v>Week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Charts!$A$5:$A$9</c:f>
              <c:strCache>
                <c:ptCount val="5"/>
                <c:pt idx="0">
                  <c:v>R.Smith</c:v>
                </c:pt>
                <c:pt idx="1">
                  <c:v>H. James</c:v>
                </c:pt>
                <c:pt idx="2">
                  <c:v>S.O'Brian</c:v>
                </c:pt>
                <c:pt idx="3">
                  <c:v>L. Carrie</c:v>
                </c:pt>
                <c:pt idx="4">
                  <c:v>K. Dunn</c:v>
                </c:pt>
              </c:strCache>
            </c:strRef>
          </c:cat>
          <c:val>
            <c:numRef>
              <c:f>Charts!$E$5:$E$9</c:f>
              <c:numCache>
                <c:formatCode>"$"#,##0</c:formatCode>
                <c:ptCount val="5"/>
                <c:pt idx="0">
                  <c:v>2750</c:v>
                </c:pt>
                <c:pt idx="1">
                  <c:v>5400</c:v>
                </c:pt>
                <c:pt idx="2">
                  <c:v>2320</c:v>
                </c:pt>
                <c:pt idx="3">
                  <c:v>4500</c:v>
                </c:pt>
                <c:pt idx="4">
                  <c:v>4510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55-4048-88B1-642BEFB34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7813104"/>
        <c:axId val="1397810224"/>
      </c:barChart>
      <c:catAx>
        <c:axId val="139781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810224"/>
        <c:crosses val="autoZero"/>
        <c:auto val="1"/>
        <c:lblAlgn val="ctr"/>
        <c:lblOffset val="100"/>
        <c:noMultiLvlLbl val="0"/>
      </c:catAx>
      <c:valAx>
        <c:axId val="139781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813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9784</xdr:colOff>
      <xdr:row>15</xdr:row>
      <xdr:rowOff>1143</xdr:rowOff>
    </xdr:from>
    <xdr:to>
      <xdr:col>11</xdr:col>
      <xdr:colOff>0</xdr:colOff>
      <xdr:row>16</xdr:row>
      <xdr:rowOff>175257</xdr:rowOff>
    </xdr:to>
    <xdr:sp macro="" textlink="">
      <xdr:nvSpPr>
        <xdr:cNvPr id="2" name="Text 1">
          <a:extLst>
            <a:ext uri="{FF2B5EF4-FFF2-40B4-BE49-F238E27FC236}">
              <a16:creationId xmlns:a16="http://schemas.microsoft.com/office/drawing/2014/main" id="{DA3DB007-216C-4893-ABAB-0C4C1C9188CE}"/>
            </a:ext>
          </a:extLst>
        </xdr:cNvPr>
        <xdr:cNvSpPr txBox="1">
          <a:spLocks noChangeArrowheads="1"/>
        </xdr:cNvSpPr>
      </xdr:nvSpPr>
      <xdr:spPr bwMode="auto">
        <a:xfrm>
          <a:off x="6618402" y="2806688"/>
          <a:ext cx="3162907" cy="354224"/>
        </a:xfrm>
        <a:prstGeom prst="rect">
          <a:avLst/>
        </a:prstGeom>
        <a:ln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Look up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 Expenses by Division and Category</a:t>
          </a:r>
        </a:p>
      </xdr:txBody>
    </xdr:sp>
    <xdr:clientData/>
  </xdr:twoCellAnchor>
  <xdr:twoCellAnchor>
    <xdr:from>
      <xdr:col>7</xdr:col>
      <xdr:colOff>238124</xdr:colOff>
      <xdr:row>2</xdr:row>
      <xdr:rowOff>192355</xdr:rowOff>
    </xdr:from>
    <xdr:to>
      <xdr:col>9</xdr:col>
      <xdr:colOff>1111221</xdr:colOff>
      <xdr:row>4</xdr:row>
      <xdr:rowOff>169620</xdr:rowOff>
    </xdr:to>
    <xdr:sp macro="" textlink="">
      <xdr:nvSpPr>
        <xdr:cNvPr id="3" name="Text 1">
          <a:extLst>
            <a:ext uri="{FF2B5EF4-FFF2-40B4-BE49-F238E27FC236}">
              <a16:creationId xmlns:a16="http://schemas.microsoft.com/office/drawing/2014/main" id="{C84C04F7-9974-4B3B-B4E4-F92BEC5F36F1}"/>
            </a:ext>
          </a:extLst>
        </xdr:cNvPr>
        <xdr:cNvSpPr txBox="1">
          <a:spLocks noChangeArrowheads="1"/>
        </xdr:cNvSpPr>
      </xdr:nvSpPr>
      <xdr:spPr bwMode="auto">
        <a:xfrm>
          <a:off x="6604288" y="850446"/>
          <a:ext cx="2078442" cy="358265"/>
        </a:xfrm>
        <a:prstGeom prst="rect">
          <a:avLst/>
        </a:prstGeom>
        <a:ln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Look up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TOTAL Expenses by Category</a:t>
          </a:r>
        </a:p>
      </xdr:txBody>
    </xdr:sp>
    <xdr:clientData/>
  </xdr:twoCellAnchor>
  <xdr:twoCellAnchor>
    <xdr:from>
      <xdr:col>8</xdr:col>
      <xdr:colOff>9522</xdr:colOff>
      <xdr:row>9</xdr:row>
      <xdr:rowOff>17267</xdr:rowOff>
    </xdr:from>
    <xdr:to>
      <xdr:col>9</xdr:col>
      <xdr:colOff>1115290</xdr:colOff>
      <xdr:row>11</xdr:row>
      <xdr:rowOff>2026</xdr:rowOff>
    </xdr:to>
    <xdr:sp macro="" textlink="">
      <xdr:nvSpPr>
        <xdr:cNvPr id="4" name="Text 1">
          <a:extLst>
            <a:ext uri="{FF2B5EF4-FFF2-40B4-BE49-F238E27FC236}">
              <a16:creationId xmlns:a16="http://schemas.microsoft.com/office/drawing/2014/main" id="{49166B4D-A00D-453E-93F0-B4B05FC9E4E0}"/>
            </a:ext>
          </a:extLst>
        </xdr:cNvPr>
        <xdr:cNvSpPr txBox="1">
          <a:spLocks noChangeArrowheads="1"/>
        </xdr:cNvSpPr>
      </xdr:nvSpPr>
      <xdr:spPr bwMode="auto">
        <a:xfrm>
          <a:off x="6618140" y="1721376"/>
          <a:ext cx="2068659" cy="344977"/>
        </a:xfrm>
        <a:prstGeom prst="rect">
          <a:avLst/>
        </a:prstGeom>
        <a:ln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Look up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AVG.</a:t>
          </a:r>
          <a:r>
            <a:rPr lang="en-US" sz="1000" b="1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Expenses by Category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727364</xdr:colOff>
      <xdr:row>3</xdr:row>
      <xdr:rowOff>117763</xdr:rowOff>
    </xdr:from>
    <xdr:to>
      <xdr:col>11</xdr:col>
      <xdr:colOff>609600</xdr:colOff>
      <xdr:row>18</xdr:row>
      <xdr:rowOff>27709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0CE703-93FC-41D8-3A6A-51D010CCC4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</xdr:row>
      <xdr:rowOff>142875</xdr:rowOff>
    </xdr:from>
    <xdr:to>
      <xdr:col>10</xdr:col>
      <xdr:colOff>504064</xdr:colOff>
      <xdr:row>17</xdr:row>
      <xdr:rowOff>113923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765D39-AF53-486F-8A06-EDE554EC2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" y="327025"/>
          <a:ext cx="6403214" cy="29174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assroom.lan\Share\Volumes\LaCie\Excel%202016%20Outlines\Excel%20Day%203%20Workfil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olumes\LaCie\Excel%25202016%2520Outlines\Excel%2520Day%25203%2520Workfile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earnitanywhere-my.sharepoint.com/Users/Karim/Documents/Book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assroom.lan\Share\Users\Karim\AppData\Local\Temp\Temp1_CondFormat01.zip\CondFormat0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assroom.lan\Share\Users\04-02.CLASSROOM.000\Desktop\Excel%20Power%20User%20Course\Retrieving%20Data%20-%20Comple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 Func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 Func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1"/>
      <sheetName val="In List"/>
      <sheetName val="LotteryTable"/>
      <sheetName val="LotteryLis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Same Cell"/>
      <sheetName val="Same Cell Ref"/>
      <sheetName val="MultiCell"/>
      <sheetName val="Errors"/>
      <sheetName val="MissingText"/>
      <sheetName val="Hide Dups"/>
      <sheetName val="In List"/>
      <sheetName val="Lottery"/>
      <sheetName val="LotteryTable"/>
      <sheetName val="LotteryList"/>
      <sheetName val="Duplicates"/>
      <sheetName val="DupRules"/>
      <sheetName val="DupRows"/>
      <sheetName val="Expiry"/>
      <sheetName val="Expired"/>
      <sheetName val="Temperature"/>
      <sheetName val="Printing"/>
      <sheetName val="2Cond"/>
      <sheetName val="Shade Alt"/>
      <sheetName val="Shade Band"/>
      <sheetName val="Shade Band Flex"/>
      <sheetName val="Shade Filtered"/>
      <sheetName val="Color Shapes"/>
      <sheetName val="ColorIcons"/>
      <sheetName val="ColorIconsNum"/>
      <sheetName val="Strikethrough"/>
      <sheetName val="MyLinks"/>
      <sheetName val="CondFormat0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LOOKUP"/>
      <sheetName val="Products"/>
      <sheetName val="Index Match"/>
      <sheetName val="Payroll"/>
      <sheetName val="Examine Functions"/>
    </sheetNames>
    <sheetDataSet>
      <sheetData sheetId="0"/>
      <sheetData sheetId="1"/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547EFF-35EE-43C6-8348-D8ABEBF7BE58}" name="Table10" displayName="Table10" ref="A1:C12" totalsRowShown="0">
  <autoFilter ref="A1:C12" xr:uid="{8E023BD7-33B7-4865-9079-6EA593829B11}"/>
  <tableColumns count="3">
    <tableColumn id="1" xr3:uid="{BB69F559-CDFA-438D-855B-A2E2E5C9F0B3}" name="Customer Name"/>
    <tableColumn id="2" xr3:uid="{2DEAFC7F-4F34-468F-94EA-9AE1C0A371B0}" name="Service Type"/>
    <tableColumn id="3" xr3:uid="{A46355EB-8F66-4EFA-82FF-416F458C9BD3}" name="Date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48A1FF-CAA2-4659-87FF-DBE006F1E3E0}" name="Table3" displayName="Table3" ref="A3:D8" totalsRowShown="0">
  <autoFilter ref="A3:D8" xr:uid="{95589F3A-54AF-4563-9747-AB40EE94C99B}">
    <filterColumn colId="0" hiddenButton="1"/>
    <filterColumn colId="1" hiddenButton="1"/>
    <filterColumn colId="2" hiddenButton="1"/>
    <filterColumn colId="3" hiddenButton="1"/>
  </autoFilter>
  <tableColumns count="4">
    <tableColumn id="1" xr3:uid="{DADA4770-DBDB-4F70-B953-76529BC26E68}" name="Region"/>
    <tableColumn id="2" xr3:uid="{12F3B2B6-A5D0-4211-83E9-4EE2C74B72BE}" name="Sales Rep"/>
    <tableColumn id="3" xr3:uid="{40A1B26F-295F-402F-82EA-D36266244077}" name="Product"/>
    <tableColumn id="4" xr3:uid="{6030199D-ED90-438C-9F9A-B8CF77E9E716}" name="Units" dataDxf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E6FDC8-B9D8-40A0-A515-5BB532D6307B}" name="Table1" displayName="Table1" ref="A1:G31" totalsRowShown="0" headerRowDxfId="8" dataDxfId="7">
  <sortState xmlns:xlrd2="http://schemas.microsoft.com/office/spreadsheetml/2017/richdata2" ref="A2:H31">
    <sortCondition ref="A2"/>
  </sortState>
  <tableColumns count="7">
    <tableColumn id="1" xr3:uid="{76C091E1-4755-4E94-871B-4086825C4444}" name="Salesperson" dataDxfId="6"/>
    <tableColumn id="4" xr3:uid="{62822876-29BB-41B0-A30E-EF9FB7A0172F}" name="May" dataDxfId="5"/>
    <tableColumn id="5" xr3:uid="{D93B9699-8D76-449F-BCD0-1EB652556A87}" name="June" dataDxfId="4"/>
    <tableColumn id="3" xr3:uid="{E6309432-B037-4FAF-B61D-A60680C4E047}" name="July" dataDxfId="3"/>
    <tableColumn id="6" xr3:uid="{01D30B74-7E4F-4CAD-8868-9B8F874BF44C}" name="Aug." dataDxfId="2"/>
    <tableColumn id="7" xr3:uid="{CBC6E6C9-4F3B-49FF-B8C9-293523E12024}" name="Sept." dataDxfId="1"/>
    <tableColumn id="8" xr3:uid="{0D27C0FF-846F-4BDA-966A-162A7DC4883E}" name="Oct.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71B9D-7168-45BC-8976-B718632FA433}">
  <sheetPr>
    <tabColor theme="9" tint="-0.499984740745262"/>
  </sheetPr>
  <dimension ref="A1:I40"/>
  <sheetViews>
    <sheetView zoomScale="110" zoomScaleNormal="110" workbookViewId="0">
      <selection activeCell="I4" sqref="I4"/>
    </sheetView>
  </sheetViews>
  <sheetFormatPr defaultColWidth="6.9140625" defaultRowHeight="13.2" x14ac:dyDescent="0.25"/>
  <cols>
    <col min="1" max="1" width="6.75" style="1" bestFit="1" customWidth="1"/>
    <col min="2" max="2" width="9.75" style="1" bestFit="1" customWidth="1"/>
    <col min="3" max="3" width="10.75" style="1" bestFit="1" customWidth="1"/>
    <col min="4" max="4" width="4.75" style="1" bestFit="1" customWidth="1"/>
    <col min="5" max="5" width="8.08203125" style="1" bestFit="1" customWidth="1"/>
    <col min="6" max="6" width="9.75" style="1" bestFit="1" customWidth="1"/>
    <col min="7" max="7" width="8.75" style="1" bestFit="1" customWidth="1"/>
    <col min="8" max="8" width="9.75" style="1" bestFit="1" customWidth="1"/>
    <col min="9" max="9" width="8.75" style="1" bestFit="1" customWidth="1"/>
    <col min="10" max="16384" width="6.9140625" style="1"/>
  </cols>
  <sheetData>
    <row r="1" spans="1:9" ht="29.25" customHeight="1" x14ac:dyDescent="0.45">
      <c r="A1" s="80" t="s">
        <v>0</v>
      </c>
      <c r="B1" s="80"/>
      <c r="C1" s="80"/>
      <c r="D1" s="80"/>
      <c r="E1" s="80"/>
      <c r="F1" s="80"/>
      <c r="G1" s="80"/>
      <c r="H1" s="80"/>
      <c r="I1" s="80"/>
    </row>
    <row r="3" spans="1:9" ht="16.2" x14ac:dyDescent="0.35">
      <c r="A3" s="74" t="s">
        <v>1</v>
      </c>
      <c r="B3" s="74" t="s">
        <v>2</v>
      </c>
      <c r="C3" s="74" t="s">
        <v>3</v>
      </c>
      <c r="D3" s="74" t="s">
        <v>4</v>
      </c>
      <c r="E3" s="74" t="s">
        <v>5</v>
      </c>
      <c r="F3" s="74" t="s">
        <v>6</v>
      </c>
      <c r="G3" s="74" t="s">
        <v>7</v>
      </c>
      <c r="H3" s="74" t="s">
        <v>8</v>
      </c>
      <c r="I3" s="74" t="s">
        <v>9</v>
      </c>
    </row>
    <row r="4" spans="1:9" ht="15.6" x14ac:dyDescent="0.3">
      <c r="A4" s="58">
        <v>1054</v>
      </c>
      <c r="B4" s="58" t="s">
        <v>10</v>
      </c>
      <c r="C4" s="58" t="s">
        <v>11</v>
      </c>
      <c r="D4" s="58" t="s">
        <v>12</v>
      </c>
      <c r="E4" s="58" t="s">
        <v>13</v>
      </c>
      <c r="F4" s="58">
        <v>148</v>
      </c>
      <c r="G4" s="58" t="s">
        <v>14</v>
      </c>
      <c r="H4" s="59">
        <v>41742</v>
      </c>
      <c r="I4" s="60">
        <v>23.112682518640405</v>
      </c>
    </row>
    <row r="5" spans="1:9" ht="15.6" x14ac:dyDescent="0.3">
      <c r="A5" s="58">
        <v>1056</v>
      </c>
      <c r="B5" s="58" t="s">
        <v>15</v>
      </c>
      <c r="C5" s="58" t="s">
        <v>16</v>
      </c>
      <c r="D5" s="58" t="s">
        <v>12</v>
      </c>
      <c r="E5" s="58" t="s">
        <v>17</v>
      </c>
      <c r="F5" s="58">
        <v>121</v>
      </c>
      <c r="G5" s="58" t="s">
        <v>14</v>
      </c>
      <c r="H5" s="59">
        <v>37551</v>
      </c>
      <c r="I5" s="60">
        <v>34.525388617350792</v>
      </c>
    </row>
    <row r="6" spans="1:9" ht="15.6" x14ac:dyDescent="0.3">
      <c r="A6" s="58">
        <v>1067</v>
      </c>
      <c r="B6" s="58" t="s">
        <v>18</v>
      </c>
      <c r="C6" s="58" t="s">
        <v>19</v>
      </c>
      <c r="D6" s="58" t="s">
        <v>12</v>
      </c>
      <c r="E6" s="58" t="s">
        <v>20</v>
      </c>
      <c r="F6" s="58">
        <v>123</v>
      </c>
      <c r="G6" s="58" t="s">
        <v>14</v>
      </c>
      <c r="H6" s="59">
        <v>40438</v>
      </c>
      <c r="I6" s="60">
        <v>22.187984645409315</v>
      </c>
    </row>
    <row r="7" spans="1:9" ht="15.6" x14ac:dyDescent="0.3">
      <c r="A7" s="58">
        <v>1075</v>
      </c>
      <c r="B7" s="58" t="s">
        <v>21</v>
      </c>
      <c r="C7" s="58" t="s">
        <v>22</v>
      </c>
      <c r="D7" s="58" t="s">
        <v>23</v>
      </c>
      <c r="E7" s="58" t="s">
        <v>24</v>
      </c>
      <c r="F7" s="58">
        <v>126</v>
      </c>
      <c r="G7" s="58" t="s">
        <v>25</v>
      </c>
      <c r="H7" s="59">
        <v>42221</v>
      </c>
      <c r="I7" s="60">
        <v>22.650786708090671</v>
      </c>
    </row>
    <row r="8" spans="1:9" ht="15.6" x14ac:dyDescent="0.3">
      <c r="A8" s="58">
        <v>1078</v>
      </c>
      <c r="B8" s="58" t="s">
        <v>26</v>
      </c>
      <c r="C8" s="58" t="s">
        <v>27</v>
      </c>
      <c r="D8" s="58" t="s">
        <v>28</v>
      </c>
      <c r="E8" s="58" t="s">
        <v>29</v>
      </c>
      <c r="F8" s="58">
        <v>101</v>
      </c>
      <c r="G8" s="58" t="s">
        <v>25</v>
      </c>
      <c r="H8" s="59">
        <v>39901</v>
      </c>
      <c r="I8" s="60">
        <v>35.093078297663361</v>
      </c>
    </row>
    <row r="9" spans="1:9" ht="15.6" x14ac:dyDescent="0.3">
      <c r="A9" s="58">
        <v>1152</v>
      </c>
      <c r="B9" s="58" t="s">
        <v>30</v>
      </c>
      <c r="C9" s="58" t="s">
        <v>31</v>
      </c>
      <c r="D9" s="58" t="s">
        <v>23</v>
      </c>
      <c r="E9" s="58" t="s">
        <v>32</v>
      </c>
      <c r="F9" s="58">
        <v>118</v>
      </c>
      <c r="G9" s="58" t="s">
        <v>25</v>
      </c>
      <c r="H9" s="59">
        <v>41292</v>
      </c>
      <c r="I9" s="60">
        <v>20.450480626241173</v>
      </c>
    </row>
    <row r="10" spans="1:9" ht="15.6" x14ac:dyDescent="0.3">
      <c r="A10" s="58">
        <v>1196</v>
      </c>
      <c r="B10" s="58" t="s">
        <v>33</v>
      </c>
      <c r="C10" s="58" t="s">
        <v>34</v>
      </c>
      <c r="D10" s="58" t="s">
        <v>35</v>
      </c>
      <c r="E10" s="58" t="s">
        <v>36</v>
      </c>
      <c r="F10" s="58">
        <v>289</v>
      </c>
      <c r="G10" s="58" t="s">
        <v>37</v>
      </c>
      <c r="H10" s="59">
        <v>44284</v>
      </c>
      <c r="I10" s="60">
        <v>21.116426350677912</v>
      </c>
    </row>
    <row r="11" spans="1:9" ht="15.6" x14ac:dyDescent="0.3">
      <c r="A11" s="58">
        <v>1284</v>
      </c>
      <c r="B11" s="58" t="s">
        <v>38</v>
      </c>
      <c r="C11" s="58" t="s">
        <v>39</v>
      </c>
      <c r="D11" s="58" t="s">
        <v>40</v>
      </c>
      <c r="E11" s="58" t="s">
        <v>41</v>
      </c>
      <c r="F11" s="58">
        <v>124</v>
      </c>
      <c r="G11" s="58" t="s">
        <v>14</v>
      </c>
      <c r="H11" s="59">
        <v>39449</v>
      </c>
      <c r="I11" s="60">
        <v>31.521433991091691</v>
      </c>
    </row>
    <row r="12" spans="1:9" ht="15.6" x14ac:dyDescent="0.3">
      <c r="A12" s="58">
        <v>1290</v>
      </c>
      <c r="B12" s="58" t="s">
        <v>42</v>
      </c>
      <c r="C12" s="58" t="s">
        <v>43</v>
      </c>
      <c r="D12" s="58" t="s">
        <v>23</v>
      </c>
      <c r="E12" s="58" t="s">
        <v>44</v>
      </c>
      <c r="F12" s="58">
        <v>113</v>
      </c>
      <c r="G12" s="58" t="s">
        <v>25</v>
      </c>
      <c r="H12" s="59">
        <v>39448</v>
      </c>
      <c r="I12" s="60">
        <v>26.263290691845491</v>
      </c>
    </row>
    <row r="13" spans="1:9" ht="15.6" x14ac:dyDescent="0.3">
      <c r="A13" s="58">
        <v>1293</v>
      </c>
      <c r="B13" s="58" t="s">
        <v>45</v>
      </c>
      <c r="C13" s="58" t="s">
        <v>46</v>
      </c>
      <c r="D13" s="58" t="s">
        <v>35</v>
      </c>
      <c r="E13" s="58" t="s">
        <v>47</v>
      </c>
      <c r="F13" s="58">
        <v>205</v>
      </c>
      <c r="G13" s="58" t="s">
        <v>37</v>
      </c>
      <c r="H13" s="59">
        <v>39337</v>
      </c>
      <c r="I13" s="60">
        <v>34.790615088923452</v>
      </c>
    </row>
    <row r="14" spans="1:9" ht="15.6" x14ac:dyDescent="0.3">
      <c r="A14" s="58">
        <v>1299</v>
      </c>
      <c r="B14" s="58" t="s">
        <v>48</v>
      </c>
      <c r="C14" s="58" t="s">
        <v>49</v>
      </c>
      <c r="D14" s="58" t="s">
        <v>50</v>
      </c>
      <c r="E14" s="58" t="s">
        <v>51</v>
      </c>
      <c r="F14" s="58">
        <v>127</v>
      </c>
      <c r="G14" s="58" t="s">
        <v>14</v>
      </c>
      <c r="H14" s="59">
        <v>41261</v>
      </c>
      <c r="I14" s="60">
        <v>36.358152121831047</v>
      </c>
    </row>
    <row r="15" spans="1:9" ht="15.6" x14ac:dyDescent="0.3">
      <c r="A15" s="58">
        <v>1302</v>
      </c>
      <c r="B15" s="58" t="s">
        <v>52</v>
      </c>
      <c r="C15" s="58" t="s">
        <v>53</v>
      </c>
      <c r="D15" s="58" t="s">
        <v>40</v>
      </c>
      <c r="E15" s="58" t="s">
        <v>54</v>
      </c>
      <c r="F15" s="58">
        <v>139</v>
      </c>
      <c r="G15" s="58" t="s">
        <v>14</v>
      </c>
      <c r="H15" s="59">
        <v>39298</v>
      </c>
      <c r="I15" s="60">
        <v>31.941259411760427</v>
      </c>
    </row>
    <row r="16" spans="1:9" ht="15.6" x14ac:dyDescent="0.3">
      <c r="A16" s="58">
        <v>1310</v>
      </c>
      <c r="B16" s="58" t="s">
        <v>10</v>
      </c>
      <c r="C16" s="58" t="s">
        <v>55</v>
      </c>
      <c r="D16" s="58" t="s">
        <v>50</v>
      </c>
      <c r="E16" s="58" t="s">
        <v>56</v>
      </c>
      <c r="F16" s="58">
        <v>137</v>
      </c>
      <c r="G16" s="58" t="s">
        <v>14</v>
      </c>
      <c r="H16" s="59">
        <v>40087</v>
      </c>
      <c r="I16" s="60">
        <v>27.748133280634171</v>
      </c>
    </row>
    <row r="17" spans="1:9" ht="15.6" x14ac:dyDescent="0.3">
      <c r="A17" s="58">
        <v>1329</v>
      </c>
      <c r="B17" s="58" t="s">
        <v>57</v>
      </c>
      <c r="C17" s="58" t="s">
        <v>58</v>
      </c>
      <c r="D17" s="58" t="s">
        <v>28</v>
      </c>
      <c r="E17" s="58" t="s">
        <v>59</v>
      </c>
      <c r="F17" s="58">
        <v>151</v>
      </c>
      <c r="G17" s="58" t="s">
        <v>25</v>
      </c>
      <c r="H17" s="59">
        <v>40959</v>
      </c>
      <c r="I17" s="60">
        <v>30.059453552217725</v>
      </c>
    </row>
    <row r="18" spans="1:9" ht="15.6" x14ac:dyDescent="0.3">
      <c r="A18" s="58">
        <v>1333</v>
      </c>
      <c r="B18" s="58" t="s">
        <v>60</v>
      </c>
      <c r="C18" s="58" t="s">
        <v>61</v>
      </c>
      <c r="D18" s="58" t="s">
        <v>35</v>
      </c>
      <c r="E18" s="58" t="s">
        <v>62</v>
      </c>
      <c r="F18" s="58">
        <v>122</v>
      </c>
      <c r="G18" s="58" t="s">
        <v>37</v>
      </c>
      <c r="H18" s="59">
        <v>41377</v>
      </c>
      <c r="I18" s="60">
        <v>28.040146247387376</v>
      </c>
    </row>
    <row r="19" spans="1:9" ht="15.6" x14ac:dyDescent="0.3">
      <c r="A19" s="58">
        <v>1368</v>
      </c>
      <c r="B19" s="58" t="s">
        <v>63</v>
      </c>
      <c r="C19" s="58" t="s">
        <v>64</v>
      </c>
      <c r="D19" s="58" t="s">
        <v>23</v>
      </c>
      <c r="E19" s="58" t="s">
        <v>65</v>
      </c>
      <c r="F19" s="58">
        <v>132</v>
      </c>
      <c r="G19" s="58" t="s">
        <v>25</v>
      </c>
      <c r="H19" s="59">
        <v>38784</v>
      </c>
      <c r="I19" s="60">
        <v>21.582316808537904</v>
      </c>
    </row>
    <row r="20" spans="1:9" ht="15.6" x14ac:dyDescent="0.3">
      <c r="A20" s="58">
        <v>1509</v>
      </c>
      <c r="B20" s="58" t="s">
        <v>66</v>
      </c>
      <c r="C20" s="58" t="s">
        <v>67</v>
      </c>
      <c r="D20" s="58" t="s">
        <v>12</v>
      </c>
      <c r="E20" s="58" t="s">
        <v>68</v>
      </c>
      <c r="F20" s="58">
        <v>135</v>
      </c>
      <c r="G20" s="58" t="s">
        <v>14</v>
      </c>
      <c r="H20" s="59">
        <v>39615</v>
      </c>
      <c r="I20" s="60">
        <v>28.504920646844454</v>
      </c>
    </row>
    <row r="21" spans="1:9" ht="15.6" x14ac:dyDescent="0.3">
      <c r="A21" s="58">
        <v>1516</v>
      </c>
      <c r="B21" s="58" t="s">
        <v>69</v>
      </c>
      <c r="C21" s="58" t="s">
        <v>70</v>
      </c>
      <c r="D21" s="58" t="s">
        <v>28</v>
      </c>
      <c r="E21" s="58" t="s">
        <v>71</v>
      </c>
      <c r="F21" s="58">
        <v>105</v>
      </c>
      <c r="G21" s="58" t="s">
        <v>25</v>
      </c>
      <c r="H21" s="59">
        <v>39510</v>
      </c>
      <c r="I21" s="60">
        <v>25.041609972404515</v>
      </c>
    </row>
    <row r="22" spans="1:9" ht="15.6" x14ac:dyDescent="0.3">
      <c r="A22" s="58">
        <v>1529</v>
      </c>
      <c r="B22" s="58" t="s">
        <v>72</v>
      </c>
      <c r="C22" s="58" t="s">
        <v>73</v>
      </c>
      <c r="D22" s="58" t="s">
        <v>40</v>
      </c>
      <c r="E22" s="58" t="s">
        <v>74</v>
      </c>
      <c r="F22" s="58">
        <v>129</v>
      </c>
      <c r="G22" s="58" t="s">
        <v>14</v>
      </c>
      <c r="H22" s="59">
        <v>40203</v>
      </c>
      <c r="I22" s="60">
        <v>36.76047319596379</v>
      </c>
    </row>
    <row r="23" spans="1:9" ht="15.6" x14ac:dyDescent="0.3">
      <c r="A23" s="58">
        <v>1656</v>
      </c>
      <c r="B23" s="58" t="s">
        <v>75</v>
      </c>
      <c r="C23" s="58" t="s">
        <v>76</v>
      </c>
      <c r="D23" s="58" t="s">
        <v>50</v>
      </c>
      <c r="E23" s="58" t="s">
        <v>77</v>
      </c>
      <c r="F23" s="58">
        <v>149</v>
      </c>
      <c r="G23" s="58" t="s">
        <v>14</v>
      </c>
      <c r="H23" s="59">
        <v>40523</v>
      </c>
      <c r="I23" s="60">
        <v>34.594860632050001</v>
      </c>
    </row>
    <row r="24" spans="1:9" ht="15.6" x14ac:dyDescent="0.3">
      <c r="A24" s="58">
        <v>1672</v>
      </c>
      <c r="B24" s="58" t="s">
        <v>78</v>
      </c>
      <c r="C24" s="58" t="s">
        <v>79</v>
      </c>
      <c r="D24" s="58" t="s">
        <v>50</v>
      </c>
      <c r="E24" s="58" t="s">
        <v>80</v>
      </c>
      <c r="F24" s="58">
        <v>114</v>
      </c>
      <c r="G24" s="58" t="s">
        <v>14</v>
      </c>
      <c r="H24" s="59">
        <v>41377</v>
      </c>
      <c r="I24" s="60">
        <v>21.821067915080782</v>
      </c>
    </row>
    <row r="25" spans="1:9" ht="15.6" x14ac:dyDescent="0.3">
      <c r="A25" s="58">
        <v>1673</v>
      </c>
      <c r="B25" s="58" t="s">
        <v>81</v>
      </c>
      <c r="C25" s="58" t="s">
        <v>39</v>
      </c>
      <c r="D25" s="58" t="s">
        <v>23</v>
      </c>
      <c r="E25" s="58" t="s">
        <v>82</v>
      </c>
      <c r="F25" s="58">
        <v>112</v>
      </c>
      <c r="G25" s="58" t="s">
        <v>25</v>
      </c>
      <c r="H25" s="59">
        <v>42086</v>
      </c>
      <c r="I25" s="60">
        <v>34.737713847797657</v>
      </c>
    </row>
    <row r="26" spans="1:9" ht="15.6" x14ac:dyDescent="0.3">
      <c r="A26" s="58">
        <v>1676</v>
      </c>
      <c r="B26" s="58" t="s">
        <v>83</v>
      </c>
      <c r="C26" s="58" t="s">
        <v>84</v>
      </c>
      <c r="D26" s="58" t="s">
        <v>40</v>
      </c>
      <c r="E26" s="58" t="s">
        <v>85</v>
      </c>
      <c r="F26" s="58">
        <v>115</v>
      </c>
      <c r="G26" s="58" t="s">
        <v>14</v>
      </c>
      <c r="H26" s="59">
        <v>38283</v>
      </c>
      <c r="I26" s="60">
        <v>23.923732649470132</v>
      </c>
    </row>
    <row r="27" spans="1:9" ht="15.6" x14ac:dyDescent="0.3">
      <c r="A27" s="58">
        <v>1721</v>
      </c>
      <c r="B27" s="58" t="s">
        <v>86</v>
      </c>
      <c r="C27" s="58" t="s">
        <v>87</v>
      </c>
      <c r="D27" s="58" t="s">
        <v>35</v>
      </c>
      <c r="E27" s="58" t="s">
        <v>88</v>
      </c>
      <c r="F27" s="58">
        <v>102</v>
      </c>
      <c r="G27" s="58" t="s">
        <v>37</v>
      </c>
      <c r="H27" s="59">
        <v>41489</v>
      </c>
      <c r="I27" s="60">
        <v>30.530481883132325</v>
      </c>
    </row>
    <row r="28" spans="1:9" ht="15.6" x14ac:dyDescent="0.3">
      <c r="A28" s="58">
        <v>1723</v>
      </c>
      <c r="B28" s="58" t="s">
        <v>89</v>
      </c>
      <c r="C28" s="58" t="s">
        <v>31</v>
      </c>
      <c r="D28" s="58" t="s">
        <v>40</v>
      </c>
      <c r="E28" s="58" t="s">
        <v>90</v>
      </c>
      <c r="F28" s="58">
        <v>145</v>
      </c>
      <c r="G28" s="58" t="s">
        <v>14</v>
      </c>
      <c r="H28" s="59">
        <v>36929</v>
      </c>
      <c r="I28" s="60">
        <v>30.633823369091417</v>
      </c>
    </row>
    <row r="29" spans="1:9" ht="15.6" x14ac:dyDescent="0.3">
      <c r="A29" s="58">
        <v>1758</v>
      </c>
      <c r="B29" s="58" t="s">
        <v>91</v>
      </c>
      <c r="C29" s="58" t="s">
        <v>92</v>
      </c>
      <c r="D29" s="58" t="s">
        <v>28</v>
      </c>
      <c r="E29" s="58" t="s">
        <v>93</v>
      </c>
      <c r="F29" s="58">
        <v>107</v>
      </c>
      <c r="G29" s="58" t="s">
        <v>25</v>
      </c>
      <c r="H29" s="59">
        <v>38426</v>
      </c>
      <c r="I29" s="60">
        <v>23.323201962374185</v>
      </c>
    </row>
    <row r="30" spans="1:9" ht="15.6" x14ac:dyDescent="0.3">
      <c r="A30" s="58">
        <v>1792</v>
      </c>
      <c r="B30" s="58" t="s">
        <v>94</v>
      </c>
      <c r="C30" s="58" t="s">
        <v>95</v>
      </c>
      <c r="D30" s="58" t="s">
        <v>12</v>
      </c>
      <c r="E30" s="58" t="s">
        <v>96</v>
      </c>
      <c r="F30" s="58">
        <v>111</v>
      </c>
      <c r="G30" s="58" t="s">
        <v>14</v>
      </c>
      <c r="H30" s="59">
        <v>41629</v>
      </c>
      <c r="I30" s="60">
        <v>22.865282515192384</v>
      </c>
    </row>
    <row r="31" spans="1:9" ht="15.6" x14ac:dyDescent="0.3">
      <c r="A31" s="58">
        <v>1814</v>
      </c>
      <c r="B31" s="58" t="s">
        <v>97</v>
      </c>
      <c r="C31" s="58" t="s">
        <v>98</v>
      </c>
      <c r="D31" s="58" t="s">
        <v>35</v>
      </c>
      <c r="E31" s="58" t="s">
        <v>99</v>
      </c>
      <c r="F31" s="58">
        <v>103</v>
      </c>
      <c r="G31" s="58" t="s">
        <v>37</v>
      </c>
      <c r="H31" s="59">
        <v>40969</v>
      </c>
      <c r="I31" s="60">
        <v>28.314886343881007</v>
      </c>
    </row>
    <row r="32" spans="1:9" ht="15.6" x14ac:dyDescent="0.3">
      <c r="A32" s="58">
        <v>1908</v>
      </c>
      <c r="B32" s="58" t="s">
        <v>100</v>
      </c>
      <c r="C32" s="58" t="s">
        <v>101</v>
      </c>
      <c r="D32" s="58" t="s">
        <v>12</v>
      </c>
      <c r="E32" s="58" t="s">
        <v>102</v>
      </c>
      <c r="F32" s="58">
        <v>152</v>
      </c>
      <c r="G32" s="58" t="s">
        <v>14</v>
      </c>
      <c r="H32" s="59">
        <v>39215</v>
      </c>
      <c r="I32" s="60">
        <v>21.583297549698294</v>
      </c>
    </row>
    <row r="33" spans="1:9" ht="15.6" x14ac:dyDescent="0.3">
      <c r="A33" s="58">
        <v>1931</v>
      </c>
      <c r="B33" s="58" t="s">
        <v>103</v>
      </c>
      <c r="C33" s="58" t="s">
        <v>104</v>
      </c>
      <c r="D33" s="58" t="s">
        <v>28</v>
      </c>
      <c r="E33" s="58" t="s">
        <v>105</v>
      </c>
      <c r="F33" s="58">
        <v>110</v>
      </c>
      <c r="G33" s="58" t="s">
        <v>25</v>
      </c>
      <c r="H33" s="59">
        <v>41077</v>
      </c>
      <c r="I33" s="60">
        <v>22.096372011411539</v>
      </c>
    </row>
    <row r="34" spans="1:9" ht="15.6" x14ac:dyDescent="0.3">
      <c r="A34" s="58">
        <v>1960</v>
      </c>
      <c r="B34" s="58" t="s">
        <v>106</v>
      </c>
      <c r="C34" s="58" t="s">
        <v>107</v>
      </c>
      <c r="D34" s="58" t="s">
        <v>50</v>
      </c>
      <c r="E34" s="58" t="s">
        <v>108</v>
      </c>
      <c r="F34" s="58">
        <v>150</v>
      </c>
      <c r="G34" s="58" t="s">
        <v>14</v>
      </c>
      <c r="H34" s="59">
        <v>40127</v>
      </c>
      <c r="I34" s="60">
        <v>24.110587484316248</v>
      </c>
    </row>
    <row r="35" spans="1:9" ht="15.6" x14ac:dyDescent="0.3">
      <c r="A35" s="58">
        <v>1964</v>
      </c>
      <c r="B35" s="58" t="s">
        <v>109</v>
      </c>
      <c r="C35" s="58" t="s">
        <v>110</v>
      </c>
      <c r="D35" s="58" t="s">
        <v>28</v>
      </c>
      <c r="E35" s="58" t="s">
        <v>111</v>
      </c>
      <c r="F35" s="58">
        <v>108</v>
      </c>
      <c r="G35" s="58" t="s">
        <v>25</v>
      </c>
      <c r="H35" s="59">
        <v>41957</v>
      </c>
      <c r="I35" s="60">
        <v>32.746626443985036</v>
      </c>
    </row>
    <row r="36" spans="1:9" ht="15.6" x14ac:dyDescent="0.3">
      <c r="A36" s="58">
        <v>1975</v>
      </c>
      <c r="B36" s="58" t="s">
        <v>112</v>
      </c>
      <c r="C36" s="58" t="s">
        <v>113</v>
      </c>
      <c r="D36" s="58" t="s">
        <v>28</v>
      </c>
      <c r="E36" s="58" t="s">
        <v>114</v>
      </c>
      <c r="F36" s="58">
        <v>125</v>
      </c>
      <c r="G36" s="58" t="s">
        <v>25</v>
      </c>
      <c r="H36" s="59">
        <v>43523</v>
      </c>
      <c r="I36" s="60">
        <v>20.224401476642818</v>
      </c>
    </row>
    <row r="37" spans="1:9" ht="15.6" x14ac:dyDescent="0.3">
      <c r="A37" s="58">
        <v>1983</v>
      </c>
      <c r="B37" s="58" t="s">
        <v>109</v>
      </c>
      <c r="C37" s="58" t="s">
        <v>115</v>
      </c>
      <c r="D37" s="58" t="s">
        <v>12</v>
      </c>
      <c r="E37" s="58" t="s">
        <v>116</v>
      </c>
      <c r="F37" s="58">
        <v>154</v>
      </c>
      <c r="G37" s="58" t="s">
        <v>14</v>
      </c>
      <c r="H37" s="59">
        <v>44007</v>
      </c>
      <c r="I37" s="60">
        <v>26.320559271906468</v>
      </c>
    </row>
    <row r="38" spans="1:9" ht="15.6" x14ac:dyDescent="0.3">
      <c r="A38" s="58">
        <v>1990</v>
      </c>
      <c r="B38" s="58" t="s">
        <v>117</v>
      </c>
      <c r="C38" s="58" t="s">
        <v>118</v>
      </c>
      <c r="D38" s="58" t="s">
        <v>50</v>
      </c>
      <c r="E38" s="58" t="s">
        <v>119</v>
      </c>
      <c r="F38" s="58">
        <v>198</v>
      </c>
      <c r="G38" s="58" t="s">
        <v>14</v>
      </c>
      <c r="H38" s="59">
        <v>44238</v>
      </c>
      <c r="I38" s="60">
        <v>27.176260395039776</v>
      </c>
    </row>
    <row r="39" spans="1:9" ht="15.6" x14ac:dyDescent="0.3">
      <c r="A39" s="58">
        <v>1995</v>
      </c>
      <c r="B39" s="58" t="s">
        <v>120</v>
      </c>
      <c r="C39" s="58" t="s">
        <v>121</v>
      </c>
      <c r="D39" s="58" t="s">
        <v>12</v>
      </c>
      <c r="E39" s="58" t="s">
        <v>122</v>
      </c>
      <c r="F39" s="58">
        <v>198</v>
      </c>
      <c r="G39" s="58" t="s">
        <v>14</v>
      </c>
      <c r="H39" s="59">
        <v>44253</v>
      </c>
      <c r="I39" s="60">
        <v>27.273205533671039</v>
      </c>
    </row>
    <row r="40" spans="1:9" ht="15.6" x14ac:dyDescent="0.3">
      <c r="A40" s="58">
        <v>1999</v>
      </c>
      <c r="B40" s="58" t="s">
        <v>123</v>
      </c>
      <c r="C40" s="58" t="s">
        <v>124</v>
      </c>
      <c r="D40" s="58" t="s">
        <v>35</v>
      </c>
      <c r="E40" s="58" t="s">
        <v>125</v>
      </c>
      <c r="F40" s="58">
        <v>428</v>
      </c>
      <c r="G40" s="58" t="s">
        <v>37</v>
      </c>
      <c r="H40" s="59">
        <v>44379</v>
      </c>
      <c r="I40" s="60">
        <v>20.275620323911021</v>
      </c>
    </row>
  </sheetData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5D245-A5AF-4DEF-9D5C-B55A89076008}">
  <sheetPr>
    <tabColor theme="9" tint="-0.499984740745262"/>
  </sheetPr>
  <dimension ref="A1:F133"/>
  <sheetViews>
    <sheetView showFormulas="1" zoomScale="110" zoomScaleNormal="110" workbookViewId="0">
      <selection activeCell="D9" sqref="D9"/>
    </sheetView>
  </sheetViews>
  <sheetFormatPr defaultColWidth="7.1640625" defaultRowHeight="15.6" x14ac:dyDescent="0.3"/>
  <cols>
    <col min="1" max="1" width="3.83203125" style="2" bestFit="1" customWidth="1"/>
    <col min="2" max="2" width="5.25" style="3" bestFit="1" customWidth="1"/>
    <col min="3" max="3" width="4.33203125" style="2" bestFit="1" customWidth="1"/>
    <col min="4" max="4" width="5.33203125" style="2" bestFit="1" customWidth="1"/>
    <col min="5" max="5" width="4.6640625" style="2" bestFit="1" customWidth="1"/>
    <col min="6" max="6" width="4.9140625" style="2" bestFit="1" customWidth="1"/>
    <col min="7" max="16384" width="7.1640625" style="2"/>
  </cols>
  <sheetData>
    <row r="1" spans="1:6" ht="18" x14ac:dyDescent="0.35">
      <c r="A1" s="71" t="s">
        <v>126</v>
      </c>
      <c r="B1" s="72" t="s">
        <v>127</v>
      </c>
      <c r="C1" s="71" t="s">
        <v>128</v>
      </c>
      <c r="D1" s="71" t="s">
        <v>129</v>
      </c>
      <c r="E1" s="71" t="s">
        <v>130</v>
      </c>
      <c r="F1" s="71" t="s">
        <v>131</v>
      </c>
    </row>
    <row r="2" spans="1:6" x14ac:dyDescent="0.3">
      <c r="A2" s="61" t="s">
        <v>132</v>
      </c>
      <c r="B2" s="62">
        <v>129000</v>
      </c>
      <c r="C2" s="61" t="s">
        <v>133</v>
      </c>
      <c r="D2" s="63">
        <v>2580</v>
      </c>
      <c r="E2" s="61">
        <v>4</v>
      </c>
      <c r="F2" s="61">
        <v>2</v>
      </c>
    </row>
    <row r="3" spans="1:6" x14ac:dyDescent="0.3">
      <c r="A3" s="61" t="s">
        <v>134</v>
      </c>
      <c r="B3" s="62">
        <v>79000</v>
      </c>
      <c r="C3" s="61" t="s">
        <v>135</v>
      </c>
      <c r="D3" s="63">
        <v>1580</v>
      </c>
      <c r="E3" s="61">
        <v>4</v>
      </c>
      <c r="F3" s="61">
        <v>3</v>
      </c>
    </row>
    <row r="4" spans="1:6" x14ac:dyDescent="0.3">
      <c r="A4" s="61" t="s">
        <v>136</v>
      </c>
      <c r="B4" s="62">
        <v>117250</v>
      </c>
      <c r="C4" s="61" t="s">
        <v>135</v>
      </c>
      <c r="D4" s="63">
        <v>2345</v>
      </c>
      <c r="E4" s="61">
        <v>3</v>
      </c>
      <c r="F4" s="61">
        <v>2</v>
      </c>
    </row>
    <row r="5" spans="1:6" x14ac:dyDescent="0.3">
      <c r="A5" s="61" t="s">
        <v>137</v>
      </c>
      <c r="B5" s="62">
        <v>121250</v>
      </c>
      <c r="C5" s="61" t="s">
        <v>138</v>
      </c>
      <c r="D5" s="63">
        <v>2425</v>
      </c>
      <c r="E5" s="61">
        <v>4</v>
      </c>
      <c r="F5" s="61">
        <v>2</v>
      </c>
    </row>
    <row r="6" spans="1:6" x14ac:dyDescent="0.3">
      <c r="A6" s="61" t="s">
        <v>139</v>
      </c>
      <c r="B6" s="62">
        <v>125250</v>
      </c>
      <c r="C6" s="61" t="s">
        <v>140</v>
      </c>
      <c r="D6" s="63">
        <v>2505</v>
      </c>
      <c r="E6" s="61">
        <v>3</v>
      </c>
      <c r="F6" s="61">
        <v>1</v>
      </c>
    </row>
    <row r="7" spans="1:6" x14ac:dyDescent="0.3">
      <c r="A7" s="61" t="s">
        <v>141</v>
      </c>
      <c r="B7" s="62">
        <v>129250</v>
      </c>
      <c r="C7" s="61" t="s">
        <v>133</v>
      </c>
      <c r="D7" s="63">
        <v>2585</v>
      </c>
      <c r="E7" s="61">
        <v>2</v>
      </c>
      <c r="F7" s="61">
        <v>3</v>
      </c>
    </row>
    <row r="8" spans="1:6" x14ac:dyDescent="0.3">
      <c r="A8" s="61" t="s">
        <v>142</v>
      </c>
      <c r="B8" s="62">
        <v>133250</v>
      </c>
      <c r="C8" s="61" t="s">
        <v>143</v>
      </c>
      <c r="D8" s="63">
        <v>2665</v>
      </c>
      <c r="E8" s="61">
        <v>3</v>
      </c>
      <c r="F8" s="61">
        <v>2</v>
      </c>
    </row>
    <row r="9" spans="1:6" x14ac:dyDescent="0.3">
      <c r="A9" s="61" t="s">
        <v>144</v>
      </c>
      <c r="B9" s="62">
        <v>137250</v>
      </c>
      <c r="C9" s="61" t="s">
        <v>145</v>
      </c>
      <c r="D9" s="63">
        <v>2745</v>
      </c>
      <c r="E9" s="61">
        <v>4</v>
      </c>
      <c r="F9" s="61">
        <v>2</v>
      </c>
    </row>
    <row r="10" spans="1:6" x14ac:dyDescent="0.3">
      <c r="A10" s="61" t="s">
        <v>146</v>
      </c>
      <c r="B10" s="62">
        <v>141250</v>
      </c>
      <c r="C10" s="61" t="s">
        <v>135</v>
      </c>
      <c r="D10" s="63">
        <v>2825</v>
      </c>
      <c r="E10" s="61">
        <v>3</v>
      </c>
      <c r="F10" s="61">
        <v>2</v>
      </c>
    </row>
    <row r="11" spans="1:6" x14ac:dyDescent="0.3">
      <c r="A11" s="61" t="s">
        <v>147</v>
      </c>
      <c r="B11" s="62">
        <v>145250</v>
      </c>
      <c r="C11" s="61" t="s">
        <v>138</v>
      </c>
      <c r="D11" s="63">
        <v>2905</v>
      </c>
      <c r="E11" s="61">
        <v>4</v>
      </c>
      <c r="F11" s="61">
        <v>3</v>
      </c>
    </row>
    <row r="12" spans="1:6" x14ac:dyDescent="0.3">
      <c r="A12" s="61" t="s">
        <v>148</v>
      </c>
      <c r="B12" s="62">
        <v>149250</v>
      </c>
      <c r="C12" s="61" t="s">
        <v>140</v>
      </c>
      <c r="D12" s="63">
        <v>2985</v>
      </c>
      <c r="E12" s="61">
        <v>3</v>
      </c>
      <c r="F12" s="61">
        <v>3</v>
      </c>
    </row>
    <row r="13" spans="1:6" x14ac:dyDescent="0.3">
      <c r="A13" s="61" t="s">
        <v>149</v>
      </c>
      <c r="B13" s="62">
        <v>134250</v>
      </c>
      <c r="C13" s="61" t="s">
        <v>133</v>
      </c>
      <c r="D13" s="63">
        <v>2685</v>
      </c>
      <c r="E13" s="61">
        <v>4</v>
      </c>
      <c r="F13" s="61">
        <v>2</v>
      </c>
    </row>
    <row r="14" spans="1:6" x14ac:dyDescent="0.3">
      <c r="A14" s="61" t="s">
        <v>150</v>
      </c>
      <c r="B14" s="62">
        <v>83000</v>
      </c>
      <c r="C14" s="61" t="s">
        <v>138</v>
      </c>
      <c r="D14" s="63">
        <v>1660</v>
      </c>
      <c r="E14" s="61">
        <v>4</v>
      </c>
      <c r="F14" s="61">
        <v>4</v>
      </c>
    </row>
    <row r="15" spans="1:6" x14ac:dyDescent="0.3">
      <c r="A15" s="61" t="s">
        <v>151</v>
      </c>
      <c r="B15" s="62">
        <v>137250</v>
      </c>
      <c r="C15" s="61" t="s">
        <v>143</v>
      </c>
      <c r="D15" s="63">
        <v>2745</v>
      </c>
      <c r="E15" s="61">
        <v>4</v>
      </c>
      <c r="F15" s="61">
        <v>3</v>
      </c>
    </row>
    <row r="16" spans="1:6" x14ac:dyDescent="0.3">
      <c r="A16" s="61" t="s">
        <v>152</v>
      </c>
      <c r="B16" s="62">
        <v>140250</v>
      </c>
      <c r="C16" s="61" t="s">
        <v>145</v>
      </c>
      <c r="D16" s="63">
        <v>2805</v>
      </c>
      <c r="E16" s="61">
        <v>4</v>
      </c>
      <c r="F16" s="61">
        <v>4</v>
      </c>
    </row>
    <row r="17" spans="1:6" x14ac:dyDescent="0.3">
      <c r="A17" s="61" t="s">
        <v>153</v>
      </c>
      <c r="B17" s="62">
        <v>143250</v>
      </c>
      <c r="C17" s="61" t="s">
        <v>135</v>
      </c>
      <c r="D17" s="63">
        <v>2865</v>
      </c>
      <c r="E17" s="61">
        <v>3</v>
      </c>
      <c r="F17" s="61">
        <v>2</v>
      </c>
    </row>
    <row r="18" spans="1:6" x14ac:dyDescent="0.3">
      <c r="A18" s="61" t="s">
        <v>154</v>
      </c>
      <c r="B18" s="62">
        <v>146250</v>
      </c>
      <c r="C18" s="61" t="s">
        <v>138</v>
      </c>
      <c r="D18" s="63">
        <v>2925</v>
      </c>
      <c r="E18" s="61">
        <v>3</v>
      </c>
      <c r="F18" s="61">
        <v>2</v>
      </c>
    </row>
    <row r="19" spans="1:6" x14ac:dyDescent="0.3">
      <c r="A19" s="61" t="s">
        <v>155</v>
      </c>
      <c r="B19" s="62">
        <v>149250</v>
      </c>
      <c r="C19" s="61" t="s">
        <v>140</v>
      </c>
      <c r="D19" s="63">
        <v>2985</v>
      </c>
      <c r="E19" s="61">
        <v>2</v>
      </c>
      <c r="F19" s="61">
        <v>2</v>
      </c>
    </row>
    <row r="20" spans="1:6" x14ac:dyDescent="0.3">
      <c r="A20" s="61" t="s">
        <v>156</v>
      </c>
      <c r="B20" s="62">
        <v>152250</v>
      </c>
      <c r="C20" s="61" t="s">
        <v>133</v>
      </c>
      <c r="D20" s="63">
        <v>3045</v>
      </c>
      <c r="E20" s="61">
        <v>3</v>
      </c>
      <c r="F20" s="61">
        <v>1</v>
      </c>
    </row>
    <row r="21" spans="1:6" x14ac:dyDescent="0.3">
      <c r="A21" s="61" t="s">
        <v>157</v>
      </c>
      <c r="B21" s="62">
        <v>155250</v>
      </c>
      <c r="C21" s="61" t="s">
        <v>143</v>
      </c>
      <c r="D21" s="63">
        <v>3105</v>
      </c>
      <c r="E21" s="61">
        <v>4</v>
      </c>
      <c r="F21" s="61">
        <v>2</v>
      </c>
    </row>
    <row r="22" spans="1:6" x14ac:dyDescent="0.3">
      <c r="A22" s="61" t="s">
        <v>158</v>
      </c>
      <c r="B22" s="62">
        <v>158250</v>
      </c>
      <c r="C22" s="61" t="s">
        <v>145</v>
      </c>
      <c r="D22" s="63">
        <v>3165</v>
      </c>
      <c r="E22" s="61">
        <v>4</v>
      </c>
      <c r="F22" s="61">
        <v>2</v>
      </c>
    </row>
    <row r="23" spans="1:6" x14ac:dyDescent="0.3">
      <c r="A23" s="61" t="s">
        <v>159</v>
      </c>
      <c r="B23" s="62">
        <v>84250</v>
      </c>
      <c r="C23" s="61" t="s">
        <v>135</v>
      </c>
      <c r="D23" s="63">
        <v>1685</v>
      </c>
      <c r="E23" s="61">
        <v>4</v>
      </c>
      <c r="F23" s="61">
        <v>3</v>
      </c>
    </row>
    <row r="24" spans="1:6" x14ac:dyDescent="0.3">
      <c r="A24" s="61" t="s">
        <v>160</v>
      </c>
      <c r="B24" s="62">
        <v>88250</v>
      </c>
      <c r="C24" s="61" t="s">
        <v>138</v>
      </c>
      <c r="D24" s="63">
        <v>1765</v>
      </c>
      <c r="E24" s="61">
        <v>3</v>
      </c>
      <c r="F24" s="61">
        <v>2</v>
      </c>
    </row>
    <row r="25" spans="1:6" x14ac:dyDescent="0.3">
      <c r="A25" s="61" t="s">
        <v>161</v>
      </c>
      <c r="B25" s="62">
        <v>87000</v>
      </c>
      <c r="C25" s="61" t="s">
        <v>140</v>
      </c>
      <c r="D25" s="63">
        <v>1740</v>
      </c>
      <c r="E25" s="61">
        <v>3</v>
      </c>
      <c r="F25" s="61">
        <v>2</v>
      </c>
    </row>
    <row r="26" spans="1:6" x14ac:dyDescent="0.3">
      <c r="A26" s="61" t="s">
        <v>162</v>
      </c>
      <c r="B26" s="62">
        <v>92250</v>
      </c>
      <c r="C26" s="61" t="s">
        <v>140</v>
      </c>
      <c r="D26" s="63">
        <v>1845</v>
      </c>
      <c r="E26" s="61">
        <v>3</v>
      </c>
      <c r="F26" s="61">
        <v>3</v>
      </c>
    </row>
    <row r="27" spans="1:6" x14ac:dyDescent="0.3">
      <c r="A27" s="61" t="s">
        <v>163</v>
      </c>
      <c r="B27" s="62">
        <v>96250</v>
      </c>
      <c r="C27" s="61" t="s">
        <v>133</v>
      </c>
      <c r="D27" s="63">
        <v>1925</v>
      </c>
      <c r="E27" s="61">
        <v>4</v>
      </c>
      <c r="F27" s="61">
        <v>2</v>
      </c>
    </row>
    <row r="28" spans="1:6" x14ac:dyDescent="0.3">
      <c r="A28" s="61" t="s">
        <v>164</v>
      </c>
      <c r="B28" s="62">
        <v>100250</v>
      </c>
      <c r="C28" s="61" t="s">
        <v>143</v>
      </c>
      <c r="D28" s="63">
        <v>2005</v>
      </c>
      <c r="E28" s="61">
        <v>3</v>
      </c>
      <c r="F28" s="61">
        <v>1</v>
      </c>
    </row>
    <row r="29" spans="1:6" x14ac:dyDescent="0.3">
      <c r="A29" s="61" t="s">
        <v>165</v>
      </c>
      <c r="B29" s="62">
        <v>104250</v>
      </c>
      <c r="C29" s="61" t="s">
        <v>145</v>
      </c>
      <c r="D29" s="63">
        <v>2085</v>
      </c>
      <c r="E29" s="61">
        <v>2</v>
      </c>
      <c r="F29" s="61">
        <v>3</v>
      </c>
    </row>
    <row r="30" spans="1:6" x14ac:dyDescent="0.3">
      <c r="A30" s="61" t="s">
        <v>166</v>
      </c>
      <c r="B30" s="62">
        <v>108250</v>
      </c>
      <c r="C30" s="61" t="s">
        <v>135</v>
      </c>
      <c r="D30" s="63">
        <v>2165</v>
      </c>
      <c r="E30" s="61">
        <v>3</v>
      </c>
      <c r="F30" s="61">
        <v>2</v>
      </c>
    </row>
    <row r="31" spans="1:6" x14ac:dyDescent="0.3">
      <c r="A31" s="61" t="s">
        <v>167</v>
      </c>
      <c r="B31" s="62">
        <v>112250</v>
      </c>
      <c r="C31" s="61" t="s">
        <v>138</v>
      </c>
      <c r="D31" s="63">
        <v>2245</v>
      </c>
      <c r="E31" s="61">
        <v>4</v>
      </c>
      <c r="F31" s="61">
        <v>2</v>
      </c>
    </row>
    <row r="32" spans="1:6" x14ac:dyDescent="0.3">
      <c r="A32" s="61" t="s">
        <v>168</v>
      </c>
      <c r="B32" s="62">
        <v>116250</v>
      </c>
      <c r="C32" s="61" t="s">
        <v>140</v>
      </c>
      <c r="D32" s="63">
        <v>2325</v>
      </c>
      <c r="E32" s="61">
        <v>3</v>
      </c>
      <c r="F32" s="61">
        <v>2</v>
      </c>
    </row>
    <row r="33" spans="1:6" x14ac:dyDescent="0.3">
      <c r="A33" s="61" t="s">
        <v>169</v>
      </c>
      <c r="B33" s="62">
        <v>120250</v>
      </c>
      <c r="C33" s="61" t="s">
        <v>133</v>
      </c>
      <c r="D33" s="63">
        <v>2405</v>
      </c>
      <c r="E33" s="61">
        <v>4</v>
      </c>
      <c r="F33" s="61">
        <v>3</v>
      </c>
    </row>
    <row r="34" spans="1:6" x14ac:dyDescent="0.3">
      <c r="A34" s="61" t="s">
        <v>170</v>
      </c>
      <c r="B34" s="62">
        <v>124250</v>
      </c>
      <c r="C34" s="61" t="s">
        <v>143</v>
      </c>
      <c r="D34" s="63">
        <v>2485</v>
      </c>
      <c r="E34" s="61">
        <v>3</v>
      </c>
      <c r="F34" s="61">
        <v>3</v>
      </c>
    </row>
    <row r="35" spans="1:6" x14ac:dyDescent="0.3">
      <c r="A35" s="61" t="s">
        <v>171</v>
      </c>
      <c r="B35" s="62">
        <v>128250</v>
      </c>
      <c r="C35" s="61" t="s">
        <v>145</v>
      </c>
      <c r="D35" s="63">
        <v>2565</v>
      </c>
      <c r="E35" s="61">
        <v>4</v>
      </c>
      <c r="F35" s="61">
        <v>2</v>
      </c>
    </row>
    <row r="36" spans="1:6" x14ac:dyDescent="0.3">
      <c r="A36" s="61" t="s">
        <v>172</v>
      </c>
      <c r="B36" s="62">
        <v>91000</v>
      </c>
      <c r="C36" s="61" t="s">
        <v>133</v>
      </c>
      <c r="D36" s="63">
        <v>1820</v>
      </c>
      <c r="E36" s="61">
        <v>3</v>
      </c>
      <c r="F36" s="61">
        <v>2</v>
      </c>
    </row>
    <row r="37" spans="1:6" x14ac:dyDescent="0.3">
      <c r="A37" s="61" t="s">
        <v>173</v>
      </c>
      <c r="B37" s="62">
        <v>132250</v>
      </c>
      <c r="C37" s="61" t="s">
        <v>135</v>
      </c>
      <c r="D37" s="63">
        <v>2645</v>
      </c>
      <c r="E37" s="61">
        <v>4</v>
      </c>
      <c r="F37" s="61">
        <v>3</v>
      </c>
    </row>
    <row r="38" spans="1:6" x14ac:dyDescent="0.3">
      <c r="A38" s="61" t="s">
        <v>174</v>
      </c>
      <c r="B38" s="62">
        <v>136250</v>
      </c>
      <c r="C38" s="61" t="s">
        <v>138</v>
      </c>
      <c r="D38" s="63">
        <v>2725</v>
      </c>
      <c r="E38" s="61">
        <v>4</v>
      </c>
      <c r="F38" s="61">
        <v>4</v>
      </c>
    </row>
    <row r="39" spans="1:6" x14ac:dyDescent="0.3">
      <c r="A39" s="61" t="s">
        <v>175</v>
      </c>
      <c r="B39" s="62">
        <v>140250</v>
      </c>
      <c r="C39" s="61" t="s">
        <v>140</v>
      </c>
      <c r="D39" s="63">
        <v>2805</v>
      </c>
      <c r="E39" s="61">
        <v>3</v>
      </c>
      <c r="F39" s="61">
        <v>2</v>
      </c>
    </row>
    <row r="40" spans="1:6" x14ac:dyDescent="0.3">
      <c r="A40" s="61" t="s">
        <v>176</v>
      </c>
      <c r="B40" s="62">
        <v>95000</v>
      </c>
      <c r="C40" s="61" t="s">
        <v>143</v>
      </c>
      <c r="D40" s="63">
        <v>1900</v>
      </c>
      <c r="E40" s="61">
        <v>2</v>
      </c>
      <c r="F40" s="61">
        <v>2</v>
      </c>
    </row>
    <row r="41" spans="1:6" x14ac:dyDescent="0.3">
      <c r="A41" s="61" t="s">
        <v>177</v>
      </c>
      <c r="B41" s="62">
        <v>99000</v>
      </c>
      <c r="C41" s="61" t="s">
        <v>145</v>
      </c>
      <c r="D41" s="63">
        <v>1980</v>
      </c>
      <c r="E41" s="61">
        <v>3</v>
      </c>
      <c r="F41" s="61">
        <v>1</v>
      </c>
    </row>
    <row r="42" spans="1:6" x14ac:dyDescent="0.3">
      <c r="A42" s="61" t="s">
        <v>178</v>
      </c>
      <c r="B42" s="62">
        <v>103000</v>
      </c>
      <c r="C42" s="61" t="s">
        <v>135</v>
      </c>
      <c r="D42" s="63">
        <v>2060</v>
      </c>
      <c r="E42" s="61">
        <v>4</v>
      </c>
      <c r="F42" s="61">
        <v>2</v>
      </c>
    </row>
    <row r="43" spans="1:6" x14ac:dyDescent="0.3">
      <c r="A43" s="61" t="s">
        <v>179</v>
      </c>
      <c r="B43" s="62">
        <v>107000</v>
      </c>
      <c r="C43" s="61" t="s">
        <v>138</v>
      </c>
      <c r="D43" s="63">
        <v>2140</v>
      </c>
      <c r="E43" s="61">
        <v>4</v>
      </c>
      <c r="F43" s="61">
        <v>2</v>
      </c>
    </row>
    <row r="44" spans="1:6" x14ac:dyDescent="0.3">
      <c r="A44" s="61" t="s">
        <v>180</v>
      </c>
      <c r="B44" s="62">
        <v>111000</v>
      </c>
      <c r="C44" s="61" t="s">
        <v>140</v>
      </c>
      <c r="D44" s="63">
        <v>2220</v>
      </c>
      <c r="E44" s="61">
        <v>4</v>
      </c>
      <c r="F44" s="61">
        <v>3</v>
      </c>
    </row>
    <row r="45" spans="1:6" x14ac:dyDescent="0.3">
      <c r="A45" s="61" t="s">
        <v>181</v>
      </c>
      <c r="B45" s="62">
        <v>115000</v>
      </c>
      <c r="C45" s="61" t="s">
        <v>133</v>
      </c>
      <c r="D45" s="63">
        <v>2300</v>
      </c>
      <c r="E45" s="61">
        <v>3</v>
      </c>
      <c r="F45" s="61">
        <v>3</v>
      </c>
    </row>
    <row r="46" spans="1:6" x14ac:dyDescent="0.3">
      <c r="A46" s="61" t="s">
        <v>182</v>
      </c>
      <c r="B46" s="62">
        <v>132000</v>
      </c>
      <c r="C46" s="61" t="s">
        <v>143</v>
      </c>
      <c r="D46" s="63">
        <v>2640</v>
      </c>
      <c r="E46" s="61">
        <v>3</v>
      </c>
      <c r="F46" s="61">
        <v>1</v>
      </c>
    </row>
    <row r="47" spans="1:6" x14ac:dyDescent="0.3">
      <c r="A47" s="61" t="s">
        <v>183</v>
      </c>
      <c r="B47" s="62">
        <v>119000</v>
      </c>
      <c r="C47" s="61" t="s">
        <v>143</v>
      </c>
      <c r="D47" s="63">
        <v>2380</v>
      </c>
      <c r="E47" s="61">
        <v>3</v>
      </c>
      <c r="F47" s="61">
        <v>2</v>
      </c>
    </row>
    <row r="48" spans="1:6" x14ac:dyDescent="0.3">
      <c r="A48" s="61" t="s">
        <v>184</v>
      </c>
      <c r="B48" s="62">
        <v>123000</v>
      </c>
      <c r="C48" s="61" t="s">
        <v>145</v>
      </c>
      <c r="D48" s="63">
        <v>2460</v>
      </c>
      <c r="E48" s="61">
        <v>4</v>
      </c>
      <c r="F48" s="61">
        <v>2</v>
      </c>
    </row>
    <row r="49" spans="1:6" x14ac:dyDescent="0.3">
      <c r="A49" s="61" t="s">
        <v>185</v>
      </c>
      <c r="B49" s="62">
        <v>127000</v>
      </c>
      <c r="C49" s="61" t="s">
        <v>135</v>
      </c>
      <c r="D49" s="63">
        <v>2540</v>
      </c>
      <c r="E49" s="61">
        <v>3</v>
      </c>
      <c r="F49" s="61">
        <v>1</v>
      </c>
    </row>
    <row r="50" spans="1:6" x14ac:dyDescent="0.3">
      <c r="A50" s="61" t="s">
        <v>186</v>
      </c>
      <c r="B50" s="62">
        <v>131000</v>
      </c>
      <c r="C50" s="61" t="s">
        <v>138</v>
      </c>
      <c r="D50" s="63">
        <v>2620</v>
      </c>
      <c r="E50" s="61">
        <v>2</v>
      </c>
      <c r="F50" s="61">
        <v>3</v>
      </c>
    </row>
    <row r="51" spans="1:6" x14ac:dyDescent="0.3">
      <c r="A51" s="61" t="s">
        <v>187</v>
      </c>
      <c r="B51" s="62">
        <v>135000</v>
      </c>
      <c r="C51" s="61" t="s">
        <v>140</v>
      </c>
      <c r="D51" s="63">
        <v>2700</v>
      </c>
      <c r="E51" s="61">
        <v>3</v>
      </c>
      <c r="F51" s="61">
        <v>2</v>
      </c>
    </row>
    <row r="52" spans="1:6" x14ac:dyDescent="0.3">
      <c r="A52" s="61" t="s">
        <v>188</v>
      </c>
      <c r="B52" s="62">
        <v>139000</v>
      </c>
      <c r="C52" s="61" t="s">
        <v>133</v>
      </c>
      <c r="D52" s="63">
        <v>2780</v>
      </c>
      <c r="E52" s="61">
        <v>4</v>
      </c>
      <c r="F52" s="61">
        <v>2</v>
      </c>
    </row>
    <row r="53" spans="1:6" x14ac:dyDescent="0.3">
      <c r="A53" s="61" t="s">
        <v>189</v>
      </c>
      <c r="B53" s="62">
        <v>143000</v>
      </c>
      <c r="C53" s="61" t="s">
        <v>143</v>
      </c>
      <c r="D53" s="63">
        <v>2860</v>
      </c>
      <c r="E53" s="61">
        <v>3</v>
      </c>
      <c r="F53" s="61">
        <v>2</v>
      </c>
    </row>
    <row r="54" spans="1:6" x14ac:dyDescent="0.3">
      <c r="A54" s="61" t="s">
        <v>190</v>
      </c>
      <c r="B54" s="62">
        <v>147000</v>
      </c>
      <c r="C54" s="61" t="s">
        <v>145</v>
      </c>
      <c r="D54" s="63">
        <v>2940</v>
      </c>
      <c r="E54" s="61">
        <v>4</v>
      </c>
      <c r="F54" s="61">
        <v>3</v>
      </c>
    </row>
    <row r="55" spans="1:6" x14ac:dyDescent="0.3">
      <c r="A55" s="61" t="s">
        <v>191</v>
      </c>
      <c r="B55" s="62">
        <v>130500</v>
      </c>
      <c r="C55" s="61" t="s">
        <v>135</v>
      </c>
      <c r="D55" s="63">
        <v>2610</v>
      </c>
      <c r="E55" s="61">
        <v>3</v>
      </c>
      <c r="F55" s="61">
        <v>3</v>
      </c>
    </row>
    <row r="56" spans="1:6" x14ac:dyDescent="0.3">
      <c r="A56" s="61" t="s">
        <v>192</v>
      </c>
      <c r="B56" s="62">
        <v>133500</v>
      </c>
      <c r="C56" s="61" t="s">
        <v>138</v>
      </c>
      <c r="D56" s="63">
        <v>2670</v>
      </c>
      <c r="E56" s="61">
        <v>4</v>
      </c>
      <c r="F56" s="61">
        <v>2</v>
      </c>
    </row>
    <row r="57" spans="1:6" x14ac:dyDescent="0.3">
      <c r="A57" s="61" t="s">
        <v>193</v>
      </c>
      <c r="B57" s="62">
        <v>135000</v>
      </c>
      <c r="C57" s="61" t="s">
        <v>145</v>
      </c>
      <c r="D57" s="63">
        <v>2700</v>
      </c>
      <c r="E57" s="61">
        <v>2</v>
      </c>
      <c r="F57" s="61">
        <v>3</v>
      </c>
    </row>
    <row r="58" spans="1:6" x14ac:dyDescent="0.3">
      <c r="A58" s="61" t="s">
        <v>194</v>
      </c>
      <c r="B58" s="62">
        <v>136500</v>
      </c>
      <c r="C58" s="61" t="s">
        <v>140</v>
      </c>
      <c r="D58" s="63">
        <v>2730</v>
      </c>
      <c r="E58" s="61">
        <v>4</v>
      </c>
      <c r="F58" s="61">
        <v>3</v>
      </c>
    </row>
    <row r="59" spans="1:6" x14ac:dyDescent="0.3">
      <c r="A59" s="61" t="s">
        <v>195</v>
      </c>
      <c r="B59" s="62">
        <v>139500</v>
      </c>
      <c r="C59" s="61" t="s">
        <v>133</v>
      </c>
      <c r="D59" s="63">
        <v>2790</v>
      </c>
      <c r="E59" s="61">
        <v>4</v>
      </c>
      <c r="F59" s="61">
        <v>4</v>
      </c>
    </row>
    <row r="60" spans="1:6" x14ac:dyDescent="0.3">
      <c r="A60" s="61" t="s">
        <v>196</v>
      </c>
      <c r="B60" s="62">
        <v>142500</v>
      </c>
      <c r="C60" s="61" t="s">
        <v>143</v>
      </c>
      <c r="D60" s="63">
        <v>2850</v>
      </c>
      <c r="E60" s="61">
        <v>3</v>
      </c>
      <c r="F60" s="61">
        <v>2</v>
      </c>
    </row>
    <row r="61" spans="1:6" x14ac:dyDescent="0.3">
      <c r="A61" s="61" t="s">
        <v>197</v>
      </c>
      <c r="B61" s="62">
        <v>145500</v>
      </c>
      <c r="C61" s="61" t="s">
        <v>145</v>
      </c>
      <c r="D61" s="63">
        <v>2910</v>
      </c>
      <c r="E61" s="61">
        <v>3</v>
      </c>
      <c r="F61" s="61">
        <v>2</v>
      </c>
    </row>
    <row r="62" spans="1:6" x14ac:dyDescent="0.3">
      <c r="A62" s="61" t="s">
        <v>198</v>
      </c>
      <c r="B62" s="62">
        <v>148500</v>
      </c>
      <c r="C62" s="61" t="s">
        <v>135</v>
      </c>
      <c r="D62" s="63">
        <v>2970</v>
      </c>
      <c r="E62" s="61">
        <v>2</v>
      </c>
      <c r="F62" s="61">
        <v>2</v>
      </c>
    </row>
    <row r="63" spans="1:6" x14ac:dyDescent="0.3">
      <c r="A63" s="61" t="s">
        <v>199</v>
      </c>
      <c r="B63" s="62">
        <v>151500</v>
      </c>
      <c r="C63" s="61" t="s">
        <v>138</v>
      </c>
      <c r="D63" s="63">
        <v>3030</v>
      </c>
      <c r="E63" s="61">
        <v>3</v>
      </c>
      <c r="F63" s="61">
        <v>1</v>
      </c>
    </row>
    <row r="64" spans="1:6" x14ac:dyDescent="0.3">
      <c r="A64" s="61" t="s">
        <v>200</v>
      </c>
      <c r="B64" s="62">
        <v>154500</v>
      </c>
      <c r="C64" s="61" t="s">
        <v>140</v>
      </c>
      <c r="D64" s="63">
        <v>3090</v>
      </c>
      <c r="E64" s="61">
        <v>4</v>
      </c>
      <c r="F64" s="61">
        <v>2</v>
      </c>
    </row>
    <row r="65" spans="1:6" x14ac:dyDescent="0.3">
      <c r="A65" s="61" t="s">
        <v>201</v>
      </c>
      <c r="B65" s="62">
        <v>80500</v>
      </c>
      <c r="C65" s="61" t="s">
        <v>133</v>
      </c>
      <c r="D65" s="63">
        <v>1610</v>
      </c>
      <c r="E65" s="61">
        <v>4</v>
      </c>
      <c r="F65" s="61">
        <v>2</v>
      </c>
    </row>
    <row r="66" spans="1:6" x14ac:dyDescent="0.3">
      <c r="A66" s="61" t="s">
        <v>202</v>
      </c>
      <c r="B66" s="62">
        <v>84500</v>
      </c>
      <c r="C66" s="61" t="s">
        <v>143</v>
      </c>
      <c r="D66" s="63">
        <v>1690</v>
      </c>
      <c r="E66" s="61">
        <v>4</v>
      </c>
      <c r="F66" s="61">
        <v>3</v>
      </c>
    </row>
    <row r="67" spans="1:6" x14ac:dyDescent="0.3">
      <c r="A67" s="61" t="s">
        <v>203</v>
      </c>
      <c r="B67" s="62">
        <v>88500</v>
      </c>
      <c r="C67" s="61" t="s">
        <v>145</v>
      </c>
      <c r="D67" s="63">
        <v>1770</v>
      </c>
      <c r="E67" s="61">
        <v>3</v>
      </c>
      <c r="F67" s="61">
        <v>2</v>
      </c>
    </row>
    <row r="68" spans="1:6" x14ac:dyDescent="0.3">
      <c r="A68" s="61" t="s">
        <v>204</v>
      </c>
      <c r="B68" s="62">
        <v>138000</v>
      </c>
      <c r="C68" s="61" t="s">
        <v>135</v>
      </c>
      <c r="D68" s="63">
        <v>2760</v>
      </c>
      <c r="E68" s="61">
        <v>3</v>
      </c>
      <c r="F68" s="61">
        <v>2</v>
      </c>
    </row>
    <row r="69" spans="1:6" x14ac:dyDescent="0.3">
      <c r="A69" s="61" t="s">
        <v>205</v>
      </c>
      <c r="B69" s="62">
        <v>92500</v>
      </c>
      <c r="C69" s="61" t="s">
        <v>135</v>
      </c>
      <c r="D69" s="63">
        <v>1850</v>
      </c>
      <c r="E69" s="61">
        <v>3</v>
      </c>
      <c r="F69" s="61">
        <v>3</v>
      </c>
    </row>
    <row r="70" spans="1:6" x14ac:dyDescent="0.3">
      <c r="A70" s="61" t="s">
        <v>206</v>
      </c>
      <c r="B70" s="62">
        <v>96500</v>
      </c>
      <c r="C70" s="61" t="s">
        <v>138</v>
      </c>
      <c r="D70" s="63">
        <v>1930</v>
      </c>
      <c r="E70" s="61">
        <v>4</v>
      </c>
      <c r="F70" s="61">
        <v>2</v>
      </c>
    </row>
    <row r="71" spans="1:6" x14ac:dyDescent="0.3">
      <c r="A71" s="61" t="s">
        <v>207</v>
      </c>
      <c r="B71" s="62">
        <v>100500</v>
      </c>
      <c r="C71" s="61" t="s">
        <v>140</v>
      </c>
      <c r="D71" s="63">
        <v>2010</v>
      </c>
      <c r="E71" s="61">
        <v>3</v>
      </c>
      <c r="F71" s="61">
        <v>1</v>
      </c>
    </row>
    <row r="72" spans="1:6" x14ac:dyDescent="0.3">
      <c r="A72" s="61" t="s">
        <v>208</v>
      </c>
      <c r="B72" s="62">
        <v>104500</v>
      </c>
      <c r="C72" s="61" t="s">
        <v>133</v>
      </c>
      <c r="D72" s="63">
        <v>2090</v>
      </c>
      <c r="E72" s="61">
        <v>2</v>
      </c>
      <c r="F72" s="61">
        <v>3</v>
      </c>
    </row>
    <row r="73" spans="1:6" x14ac:dyDescent="0.3">
      <c r="A73" s="61" t="s">
        <v>209</v>
      </c>
      <c r="B73" s="62">
        <v>108500</v>
      </c>
      <c r="C73" s="61" t="s">
        <v>143</v>
      </c>
      <c r="D73" s="63">
        <v>2170</v>
      </c>
      <c r="E73" s="61">
        <v>3</v>
      </c>
      <c r="F73" s="61">
        <v>2</v>
      </c>
    </row>
    <row r="74" spans="1:6" x14ac:dyDescent="0.3">
      <c r="A74" s="61" t="s">
        <v>210</v>
      </c>
      <c r="B74" s="62">
        <v>112500</v>
      </c>
      <c r="C74" s="61" t="s">
        <v>145</v>
      </c>
      <c r="D74" s="63">
        <v>2250</v>
      </c>
      <c r="E74" s="61">
        <v>4</v>
      </c>
      <c r="F74" s="61">
        <v>2</v>
      </c>
    </row>
    <row r="75" spans="1:6" x14ac:dyDescent="0.3">
      <c r="A75" s="61" t="s">
        <v>211</v>
      </c>
      <c r="B75" s="62">
        <v>116500</v>
      </c>
      <c r="C75" s="61" t="s">
        <v>135</v>
      </c>
      <c r="D75" s="63">
        <v>2330</v>
      </c>
      <c r="E75" s="61">
        <v>3</v>
      </c>
      <c r="F75" s="61">
        <v>2</v>
      </c>
    </row>
    <row r="76" spans="1:6" x14ac:dyDescent="0.3">
      <c r="A76" s="61" t="s">
        <v>212</v>
      </c>
      <c r="B76" s="62">
        <v>120500</v>
      </c>
      <c r="C76" s="61" t="s">
        <v>138</v>
      </c>
      <c r="D76" s="63">
        <v>2410</v>
      </c>
      <c r="E76" s="61">
        <v>4</v>
      </c>
      <c r="F76" s="61">
        <v>3</v>
      </c>
    </row>
    <row r="77" spans="1:6" x14ac:dyDescent="0.3">
      <c r="A77" s="61" t="s">
        <v>213</v>
      </c>
      <c r="B77" s="62">
        <v>124500</v>
      </c>
      <c r="C77" s="61" t="s">
        <v>140</v>
      </c>
      <c r="D77" s="63">
        <v>2490</v>
      </c>
      <c r="E77" s="61">
        <v>3</v>
      </c>
      <c r="F77" s="61">
        <v>3</v>
      </c>
    </row>
    <row r="78" spans="1:6" x14ac:dyDescent="0.3">
      <c r="A78" s="61" t="s">
        <v>214</v>
      </c>
      <c r="B78" s="62">
        <v>128500</v>
      </c>
      <c r="C78" s="61" t="s">
        <v>133</v>
      </c>
      <c r="D78" s="63">
        <v>2570</v>
      </c>
      <c r="E78" s="61">
        <v>4</v>
      </c>
      <c r="F78" s="61">
        <v>2</v>
      </c>
    </row>
    <row r="79" spans="1:6" x14ac:dyDescent="0.3">
      <c r="A79" s="61" t="s">
        <v>215</v>
      </c>
      <c r="B79" s="62">
        <v>141000</v>
      </c>
      <c r="C79" s="61" t="s">
        <v>138</v>
      </c>
      <c r="D79" s="63">
        <v>2820</v>
      </c>
      <c r="E79" s="61">
        <v>4</v>
      </c>
      <c r="F79" s="61">
        <v>2</v>
      </c>
    </row>
    <row r="80" spans="1:6" x14ac:dyDescent="0.3">
      <c r="A80" s="61" t="s">
        <v>216</v>
      </c>
      <c r="B80" s="62">
        <v>132500</v>
      </c>
      <c r="C80" s="61" t="s">
        <v>143</v>
      </c>
      <c r="D80" s="63">
        <v>2650</v>
      </c>
      <c r="E80" s="61">
        <v>4</v>
      </c>
      <c r="F80" s="61">
        <v>3</v>
      </c>
    </row>
    <row r="81" spans="1:6" x14ac:dyDescent="0.3">
      <c r="A81" s="61" t="s">
        <v>217</v>
      </c>
      <c r="B81" s="62">
        <v>136500</v>
      </c>
      <c r="C81" s="61" t="s">
        <v>145</v>
      </c>
      <c r="D81" s="63">
        <v>2730</v>
      </c>
      <c r="E81" s="61">
        <v>4</v>
      </c>
      <c r="F81" s="61">
        <v>4</v>
      </c>
    </row>
    <row r="82" spans="1:6" x14ac:dyDescent="0.3">
      <c r="A82" s="61" t="s">
        <v>218</v>
      </c>
      <c r="B82" s="62">
        <v>140500</v>
      </c>
      <c r="C82" s="61" t="s">
        <v>135</v>
      </c>
      <c r="D82" s="63">
        <v>2810</v>
      </c>
      <c r="E82" s="61">
        <v>3</v>
      </c>
      <c r="F82" s="61">
        <v>2</v>
      </c>
    </row>
    <row r="83" spans="1:6" x14ac:dyDescent="0.3">
      <c r="A83" s="61" t="s">
        <v>219</v>
      </c>
      <c r="B83" s="62">
        <v>144500</v>
      </c>
      <c r="C83" s="61" t="s">
        <v>138</v>
      </c>
      <c r="D83" s="63">
        <v>2890</v>
      </c>
      <c r="E83" s="61">
        <v>3</v>
      </c>
      <c r="F83" s="61">
        <v>2</v>
      </c>
    </row>
    <row r="84" spans="1:6" x14ac:dyDescent="0.3">
      <c r="A84" s="61" t="s">
        <v>220</v>
      </c>
      <c r="B84" s="62">
        <v>148500</v>
      </c>
      <c r="C84" s="61" t="s">
        <v>140</v>
      </c>
      <c r="D84" s="63">
        <v>2970</v>
      </c>
      <c r="E84" s="61">
        <v>2</v>
      </c>
      <c r="F84" s="61">
        <v>2</v>
      </c>
    </row>
    <row r="85" spans="1:6" x14ac:dyDescent="0.3">
      <c r="A85" s="61" t="s">
        <v>221</v>
      </c>
      <c r="B85" s="62">
        <v>129750</v>
      </c>
      <c r="C85" s="61" t="s">
        <v>133</v>
      </c>
      <c r="D85" s="63">
        <v>2595</v>
      </c>
      <c r="E85" s="61">
        <v>3</v>
      </c>
      <c r="F85" s="61">
        <v>1</v>
      </c>
    </row>
    <row r="86" spans="1:6" x14ac:dyDescent="0.3">
      <c r="A86" s="61" t="s">
        <v>222</v>
      </c>
      <c r="B86" s="62">
        <v>132750</v>
      </c>
      <c r="C86" s="61" t="s">
        <v>143</v>
      </c>
      <c r="D86" s="63">
        <v>2655</v>
      </c>
      <c r="E86" s="61">
        <v>4</v>
      </c>
      <c r="F86" s="61">
        <v>2</v>
      </c>
    </row>
    <row r="87" spans="1:6" x14ac:dyDescent="0.3">
      <c r="A87" s="61" t="s">
        <v>223</v>
      </c>
      <c r="B87" s="62">
        <v>135750</v>
      </c>
      <c r="C87" s="61" t="s">
        <v>145</v>
      </c>
      <c r="D87" s="63">
        <v>2715</v>
      </c>
      <c r="E87" s="61">
        <v>4</v>
      </c>
      <c r="F87" s="61">
        <v>2</v>
      </c>
    </row>
    <row r="88" spans="1:6" x14ac:dyDescent="0.3">
      <c r="A88" s="61" t="s">
        <v>224</v>
      </c>
      <c r="B88" s="62">
        <v>138750</v>
      </c>
      <c r="C88" s="61" t="s">
        <v>135</v>
      </c>
      <c r="D88" s="63">
        <v>2775</v>
      </c>
      <c r="E88" s="61">
        <v>4</v>
      </c>
      <c r="F88" s="61">
        <v>3</v>
      </c>
    </row>
    <row r="89" spans="1:6" x14ac:dyDescent="0.3">
      <c r="A89" s="61" t="s">
        <v>225</v>
      </c>
      <c r="B89" s="62">
        <v>141750</v>
      </c>
      <c r="C89" s="61" t="s">
        <v>138</v>
      </c>
      <c r="D89" s="63">
        <v>2835</v>
      </c>
      <c r="E89" s="61">
        <v>3</v>
      </c>
      <c r="F89" s="61">
        <v>3</v>
      </c>
    </row>
    <row r="90" spans="1:6" x14ac:dyDescent="0.3">
      <c r="A90" s="61" t="s">
        <v>226</v>
      </c>
      <c r="B90" s="62">
        <v>144000</v>
      </c>
      <c r="C90" s="61" t="s">
        <v>140</v>
      </c>
      <c r="D90" s="63">
        <v>2880</v>
      </c>
      <c r="E90" s="61">
        <v>3</v>
      </c>
      <c r="F90" s="61">
        <v>2</v>
      </c>
    </row>
    <row r="91" spans="1:6" x14ac:dyDescent="0.3">
      <c r="A91" s="61" t="s">
        <v>227</v>
      </c>
      <c r="B91" s="62">
        <v>144750</v>
      </c>
      <c r="C91" s="61" t="s">
        <v>140</v>
      </c>
      <c r="D91" s="63">
        <v>2895</v>
      </c>
      <c r="E91" s="61">
        <v>3</v>
      </c>
      <c r="F91" s="61">
        <v>2</v>
      </c>
    </row>
    <row r="92" spans="1:6" x14ac:dyDescent="0.3">
      <c r="A92" s="61" t="s">
        <v>228</v>
      </c>
      <c r="B92" s="62">
        <v>147750</v>
      </c>
      <c r="C92" s="61" t="s">
        <v>133</v>
      </c>
      <c r="D92" s="63">
        <v>2955</v>
      </c>
      <c r="E92" s="61">
        <v>4</v>
      </c>
      <c r="F92" s="61">
        <v>2</v>
      </c>
    </row>
    <row r="93" spans="1:6" x14ac:dyDescent="0.3">
      <c r="A93" s="61" t="s">
        <v>229</v>
      </c>
      <c r="B93" s="62">
        <v>150750</v>
      </c>
      <c r="C93" s="61" t="s">
        <v>143</v>
      </c>
      <c r="D93" s="63">
        <v>3015</v>
      </c>
      <c r="E93" s="61">
        <v>3</v>
      </c>
      <c r="F93" s="61">
        <v>1</v>
      </c>
    </row>
    <row r="94" spans="1:6" x14ac:dyDescent="0.3">
      <c r="A94" s="61" t="s">
        <v>230</v>
      </c>
      <c r="B94" s="62">
        <v>153750</v>
      </c>
      <c r="C94" s="61" t="s">
        <v>145</v>
      </c>
      <c r="D94" s="63">
        <v>3075</v>
      </c>
      <c r="E94" s="61">
        <v>2</v>
      </c>
      <c r="F94" s="61">
        <v>3</v>
      </c>
    </row>
    <row r="95" spans="1:6" x14ac:dyDescent="0.3">
      <c r="A95" s="61" t="s">
        <v>231</v>
      </c>
      <c r="B95" s="62">
        <v>79750</v>
      </c>
      <c r="C95" s="61" t="s">
        <v>135</v>
      </c>
      <c r="D95" s="63">
        <v>1595</v>
      </c>
      <c r="E95" s="61">
        <v>3</v>
      </c>
      <c r="F95" s="61">
        <v>2</v>
      </c>
    </row>
    <row r="96" spans="1:6" x14ac:dyDescent="0.3">
      <c r="A96" s="61" t="s">
        <v>232</v>
      </c>
      <c r="B96" s="62">
        <v>83750</v>
      </c>
      <c r="C96" s="61" t="s">
        <v>138</v>
      </c>
      <c r="D96" s="63">
        <v>1675</v>
      </c>
      <c r="E96" s="61">
        <v>4</v>
      </c>
      <c r="F96" s="61">
        <v>2</v>
      </c>
    </row>
    <row r="97" spans="1:6" x14ac:dyDescent="0.3">
      <c r="A97" s="61" t="s">
        <v>233</v>
      </c>
      <c r="B97" s="62">
        <v>87750</v>
      </c>
      <c r="C97" s="61" t="s">
        <v>140</v>
      </c>
      <c r="D97" s="63">
        <v>1755</v>
      </c>
      <c r="E97" s="61">
        <v>3</v>
      </c>
      <c r="F97" s="61">
        <v>2</v>
      </c>
    </row>
    <row r="98" spans="1:6" x14ac:dyDescent="0.3">
      <c r="A98" s="61" t="s">
        <v>234</v>
      </c>
      <c r="B98" s="62">
        <v>91750</v>
      </c>
      <c r="C98" s="61" t="s">
        <v>133</v>
      </c>
      <c r="D98" s="63">
        <v>1835</v>
      </c>
      <c r="E98" s="61">
        <v>4</v>
      </c>
      <c r="F98" s="61">
        <v>3</v>
      </c>
    </row>
    <row r="99" spans="1:6" x14ac:dyDescent="0.3">
      <c r="A99" s="61" t="s">
        <v>235</v>
      </c>
      <c r="B99" s="62">
        <v>95750</v>
      </c>
      <c r="C99" s="61" t="s">
        <v>143</v>
      </c>
      <c r="D99" s="63">
        <v>1915</v>
      </c>
      <c r="E99" s="61">
        <v>3</v>
      </c>
      <c r="F99" s="61">
        <v>3</v>
      </c>
    </row>
    <row r="100" spans="1:6" x14ac:dyDescent="0.3">
      <c r="A100" s="61" t="s">
        <v>236</v>
      </c>
      <c r="B100" s="62">
        <v>99750</v>
      </c>
      <c r="C100" s="61" t="s">
        <v>145</v>
      </c>
      <c r="D100" s="63">
        <v>1995</v>
      </c>
      <c r="E100" s="61">
        <v>4</v>
      </c>
      <c r="F100" s="61">
        <v>2</v>
      </c>
    </row>
    <row r="101" spans="1:6" x14ac:dyDescent="0.3">
      <c r="A101" s="61" t="s">
        <v>237</v>
      </c>
      <c r="B101" s="62">
        <v>147000</v>
      </c>
      <c r="C101" s="61" t="s">
        <v>133</v>
      </c>
      <c r="D101" s="63">
        <v>2940</v>
      </c>
      <c r="E101" s="61">
        <v>4</v>
      </c>
      <c r="F101" s="61">
        <v>3</v>
      </c>
    </row>
    <row r="102" spans="1:6" x14ac:dyDescent="0.3">
      <c r="A102" s="61" t="s">
        <v>238</v>
      </c>
      <c r="B102" s="62">
        <v>103750</v>
      </c>
      <c r="C102" s="61" t="s">
        <v>135</v>
      </c>
      <c r="D102" s="63">
        <v>2075</v>
      </c>
      <c r="E102" s="61">
        <v>4</v>
      </c>
      <c r="F102" s="61">
        <v>3</v>
      </c>
    </row>
    <row r="103" spans="1:6" x14ac:dyDescent="0.3">
      <c r="A103" s="61" t="s">
        <v>239</v>
      </c>
      <c r="B103" s="62">
        <v>107750</v>
      </c>
      <c r="C103" s="61" t="s">
        <v>138</v>
      </c>
      <c r="D103" s="63">
        <v>2155</v>
      </c>
      <c r="E103" s="61">
        <v>4</v>
      </c>
      <c r="F103" s="61">
        <v>4</v>
      </c>
    </row>
    <row r="104" spans="1:6" x14ac:dyDescent="0.3">
      <c r="A104" s="61" t="s">
        <v>240</v>
      </c>
      <c r="B104" s="62">
        <v>111750</v>
      </c>
      <c r="C104" s="61" t="s">
        <v>140</v>
      </c>
      <c r="D104" s="63">
        <v>2235</v>
      </c>
      <c r="E104" s="61">
        <v>3</v>
      </c>
      <c r="F104" s="61">
        <v>2</v>
      </c>
    </row>
    <row r="105" spans="1:6" x14ac:dyDescent="0.3">
      <c r="A105" s="61" t="s">
        <v>241</v>
      </c>
      <c r="B105" s="62">
        <v>115750</v>
      </c>
      <c r="C105" s="61" t="s">
        <v>133</v>
      </c>
      <c r="D105" s="63">
        <v>2315</v>
      </c>
      <c r="E105" s="61">
        <v>3</v>
      </c>
      <c r="F105" s="61">
        <v>2</v>
      </c>
    </row>
    <row r="106" spans="1:6" x14ac:dyDescent="0.3">
      <c r="A106" s="61" t="s">
        <v>242</v>
      </c>
      <c r="B106" s="62">
        <v>119750</v>
      </c>
      <c r="C106" s="61" t="s">
        <v>143</v>
      </c>
      <c r="D106" s="63">
        <v>2395</v>
      </c>
      <c r="E106" s="61">
        <v>2</v>
      </c>
      <c r="F106" s="61">
        <v>2</v>
      </c>
    </row>
    <row r="107" spans="1:6" x14ac:dyDescent="0.3">
      <c r="A107" s="61" t="s">
        <v>243</v>
      </c>
      <c r="B107" s="62">
        <v>123750</v>
      </c>
      <c r="C107" s="61" t="s">
        <v>145</v>
      </c>
      <c r="D107" s="63">
        <v>2475</v>
      </c>
      <c r="E107" s="61">
        <v>3</v>
      </c>
      <c r="F107" s="61">
        <v>1</v>
      </c>
    </row>
    <row r="108" spans="1:6" x14ac:dyDescent="0.3">
      <c r="A108" s="61" t="s">
        <v>244</v>
      </c>
      <c r="B108" s="62">
        <v>127750</v>
      </c>
      <c r="C108" s="61" t="s">
        <v>135</v>
      </c>
      <c r="D108" s="63">
        <v>2555</v>
      </c>
      <c r="E108" s="61">
        <v>4</v>
      </c>
      <c r="F108" s="61">
        <v>2</v>
      </c>
    </row>
    <row r="109" spans="1:6" x14ac:dyDescent="0.3">
      <c r="A109" s="61" t="s">
        <v>245</v>
      </c>
      <c r="B109" s="62">
        <v>131750</v>
      </c>
      <c r="C109" s="61" t="s">
        <v>138</v>
      </c>
      <c r="D109" s="63">
        <v>2635</v>
      </c>
      <c r="E109" s="61">
        <v>4</v>
      </c>
      <c r="F109" s="61">
        <v>2</v>
      </c>
    </row>
    <row r="110" spans="1:6" x14ac:dyDescent="0.3">
      <c r="A110" s="61" t="s">
        <v>246</v>
      </c>
      <c r="B110" s="62">
        <v>135750</v>
      </c>
      <c r="C110" s="61" t="s">
        <v>140</v>
      </c>
      <c r="D110" s="63">
        <v>2715</v>
      </c>
      <c r="E110" s="61">
        <v>4</v>
      </c>
      <c r="F110" s="61">
        <v>3</v>
      </c>
    </row>
    <row r="111" spans="1:6" x14ac:dyDescent="0.3">
      <c r="A111" s="61" t="s">
        <v>247</v>
      </c>
      <c r="B111" s="62">
        <v>139750</v>
      </c>
      <c r="C111" s="61" t="s">
        <v>133</v>
      </c>
      <c r="D111" s="63">
        <v>2795</v>
      </c>
      <c r="E111" s="61">
        <v>3</v>
      </c>
      <c r="F111" s="61">
        <v>2</v>
      </c>
    </row>
    <row r="112" spans="1:6" x14ac:dyDescent="0.3">
      <c r="A112" s="61" t="s">
        <v>248</v>
      </c>
      <c r="B112" s="62">
        <v>150000</v>
      </c>
      <c r="C112" s="61" t="s">
        <v>143</v>
      </c>
      <c r="D112" s="63">
        <v>3000</v>
      </c>
      <c r="E112" s="61">
        <v>3</v>
      </c>
      <c r="F112" s="61">
        <v>3</v>
      </c>
    </row>
    <row r="113" spans="1:6" x14ac:dyDescent="0.3">
      <c r="A113" s="61" t="s">
        <v>249</v>
      </c>
      <c r="B113" s="62">
        <v>143750</v>
      </c>
      <c r="C113" s="61" t="s">
        <v>143</v>
      </c>
      <c r="D113" s="63">
        <v>2875</v>
      </c>
      <c r="E113" s="61">
        <v>3</v>
      </c>
      <c r="F113" s="61">
        <v>3</v>
      </c>
    </row>
    <row r="114" spans="1:6" x14ac:dyDescent="0.3">
      <c r="A114" s="61" t="s">
        <v>250</v>
      </c>
      <c r="B114" s="62">
        <v>147750</v>
      </c>
      <c r="C114" s="61" t="s">
        <v>145</v>
      </c>
      <c r="D114" s="63">
        <v>2955</v>
      </c>
      <c r="E114" s="61">
        <v>4</v>
      </c>
      <c r="F114" s="61">
        <v>2</v>
      </c>
    </row>
    <row r="115" spans="1:6" x14ac:dyDescent="0.3">
      <c r="A115" s="61" t="s">
        <v>251</v>
      </c>
      <c r="B115" s="62">
        <v>131250</v>
      </c>
      <c r="C115" s="61" t="s">
        <v>135</v>
      </c>
      <c r="D115" s="63">
        <v>2625</v>
      </c>
      <c r="E115" s="61">
        <v>3</v>
      </c>
      <c r="F115" s="61">
        <v>1</v>
      </c>
    </row>
    <row r="116" spans="1:6" x14ac:dyDescent="0.3">
      <c r="A116" s="61" t="s">
        <v>252</v>
      </c>
      <c r="B116" s="62">
        <v>134250</v>
      </c>
      <c r="C116" s="61" t="s">
        <v>138</v>
      </c>
      <c r="D116" s="63">
        <v>2685</v>
      </c>
      <c r="E116" s="61">
        <v>2</v>
      </c>
      <c r="F116" s="61">
        <v>3</v>
      </c>
    </row>
    <row r="117" spans="1:6" x14ac:dyDescent="0.3">
      <c r="A117" s="61" t="s">
        <v>253</v>
      </c>
      <c r="B117" s="62">
        <v>137250</v>
      </c>
      <c r="C117" s="61" t="s">
        <v>140</v>
      </c>
      <c r="D117" s="63">
        <v>2745</v>
      </c>
      <c r="E117" s="61">
        <v>3</v>
      </c>
      <c r="F117" s="61">
        <v>2</v>
      </c>
    </row>
    <row r="118" spans="1:6" x14ac:dyDescent="0.3">
      <c r="A118" s="61" t="s">
        <v>254</v>
      </c>
      <c r="B118" s="62">
        <v>140250</v>
      </c>
      <c r="C118" s="61" t="s">
        <v>133</v>
      </c>
      <c r="D118" s="63">
        <v>2805</v>
      </c>
      <c r="E118" s="61">
        <v>4</v>
      </c>
      <c r="F118" s="61">
        <v>2</v>
      </c>
    </row>
    <row r="119" spans="1:6" x14ac:dyDescent="0.3">
      <c r="A119" s="61" t="s">
        <v>255</v>
      </c>
      <c r="B119" s="62">
        <v>143250</v>
      </c>
      <c r="C119" s="61" t="s">
        <v>143</v>
      </c>
      <c r="D119" s="63">
        <v>2865</v>
      </c>
      <c r="E119" s="61">
        <v>3</v>
      </c>
      <c r="F119" s="61">
        <v>2</v>
      </c>
    </row>
    <row r="120" spans="1:6" x14ac:dyDescent="0.3">
      <c r="A120" s="61" t="s">
        <v>256</v>
      </c>
      <c r="B120" s="62">
        <v>146250</v>
      </c>
      <c r="C120" s="61" t="s">
        <v>145</v>
      </c>
      <c r="D120" s="63">
        <v>2925</v>
      </c>
      <c r="E120" s="61">
        <v>4</v>
      </c>
      <c r="F120" s="61">
        <v>3</v>
      </c>
    </row>
    <row r="121" spans="1:6" x14ac:dyDescent="0.3">
      <c r="A121" s="61" t="s">
        <v>257</v>
      </c>
      <c r="B121" s="62">
        <v>149250</v>
      </c>
      <c r="C121" s="61" t="s">
        <v>135</v>
      </c>
      <c r="D121" s="63">
        <v>2985</v>
      </c>
      <c r="E121" s="61">
        <v>3</v>
      </c>
      <c r="F121" s="61">
        <v>3</v>
      </c>
    </row>
    <row r="122" spans="1:6" x14ac:dyDescent="0.3">
      <c r="A122" s="61" t="s">
        <v>258</v>
      </c>
      <c r="B122" s="62">
        <v>152250</v>
      </c>
      <c r="C122" s="61" t="s">
        <v>138</v>
      </c>
      <c r="D122" s="63">
        <v>3045</v>
      </c>
      <c r="E122" s="61">
        <v>4</v>
      </c>
      <c r="F122" s="61">
        <v>2</v>
      </c>
    </row>
    <row r="123" spans="1:6" x14ac:dyDescent="0.3">
      <c r="A123" s="61" t="s">
        <v>259</v>
      </c>
      <c r="B123" s="62">
        <v>153000</v>
      </c>
      <c r="C123" s="61" t="s">
        <v>145</v>
      </c>
      <c r="D123" s="63">
        <v>3060</v>
      </c>
      <c r="E123" s="61">
        <v>4</v>
      </c>
      <c r="F123" s="61">
        <v>2</v>
      </c>
    </row>
    <row r="124" spans="1:6" x14ac:dyDescent="0.3">
      <c r="A124" s="61" t="s">
        <v>260</v>
      </c>
      <c r="B124" s="62">
        <v>155250</v>
      </c>
      <c r="C124" s="61" t="s">
        <v>140</v>
      </c>
      <c r="D124" s="63">
        <v>3105</v>
      </c>
      <c r="E124" s="61">
        <v>4</v>
      </c>
      <c r="F124" s="61">
        <v>3</v>
      </c>
    </row>
    <row r="125" spans="1:6" x14ac:dyDescent="0.3">
      <c r="A125" s="61" t="s">
        <v>261</v>
      </c>
      <c r="B125" s="62">
        <v>81250</v>
      </c>
      <c r="C125" s="61" t="s">
        <v>133</v>
      </c>
      <c r="D125" s="63">
        <v>1625</v>
      </c>
      <c r="E125" s="61">
        <v>4</v>
      </c>
      <c r="F125" s="61">
        <v>4</v>
      </c>
    </row>
    <row r="126" spans="1:6" x14ac:dyDescent="0.3">
      <c r="A126" s="61" t="s">
        <v>262</v>
      </c>
      <c r="B126" s="62">
        <v>85250</v>
      </c>
      <c r="C126" s="61" t="s">
        <v>143</v>
      </c>
      <c r="D126" s="63">
        <v>1705</v>
      </c>
      <c r="E126" s="61">
        <v>3</v>
      </c>
      <c r="F126" s="61">
        <v>2</v>
      </c>
    </row>
    <row r="127" spans="1:6" x14ac:dyDescent="0.3">
      <c r="A127" s="61" t="s">
        <v>263</v>
      </c>
      <c r="B127" s="62">
        <v>89250</v>
      </c>
      <c r="C127" s="61" t="s">
        <v>145</v>
      </c>
      <c r="D127" s="63">
        <v>1785</v>
      </c>
      <c r="E127" s="61">
        <v>3</v>
      </c>
      <c r="F127" s="61">
        <v>2</v>
      </c>
    </row>
    <row r="128" spans="1:6" x14ac:dyDescent="0.3">
      <c r="A128" s="61" t="s">
        <v>264</v>
      </c>
      <c r="B128" s="62">
        <v>93250</v>
      </c>
      <c r="C128" s="61" t="s">
        <v>135</v>
      </c>
      <c r="D128" s="63">
        <v>1865</v>
      </c>
      <c r="E128" s="61">
        <v>2</v>
      </c>
      <c r="F128" s="61">
        <v>2</v>
      </c>
    </row>
    <row r="129" spans="1:6" x14ac:dyDescent="0.3">
      <c r="A129" s="61" t="s">
        <v>265</v>
      </c>
      <c r="B129" s="62">
        <v>97250</v>
      </c>
      <c r="C129" s="61" t="s">
        <v>138</v>
      </c>
      <c r="D129" s="63">
        <v>1945</v>
      </c>
      <c r="E129" s="61">
        <v>3</v>
      </c>
      <c r="F129" s="61">
        <v>1</v>
      </c>
    </row>
    <row r="130" spans="1:6" x14ac:dyDescent="0.3">
      <c r="A130" s="61" t="s">
        <v>266</v>
      </c>
      <c r="B130" s="62">
        <v>101250</v>
      </c>
      <c r="C130" s="61" t="s">
        <v>140</v>
      </c>
      <c r="D130" s="63">
        <v>2025</v>
      </c>
      <c r="E130" s="61">
        <v>4</v>
      </c>
      <c r="F130" s="61">
        <v>2</v>
      </c>
    </row>
    <row r="131" spans="1:6" x14ac:dyDescent="0.3">
      <c r="A131" s="61" t="s">
        <v>267</v>
      </c>
      <c r="B131" s="62">
        <v>105250</v>
      </c>
      <c r="C131" s="61" t="s">
        <v>133</v>
      </c>
      <c r="D131" s="63">
        <v>2105</v>
      </c>
      <c r="E131" s="61">
        <v>4</v>
      </c>
      <c r="F131" s="61">
        <v>2</v>
      </c>
    </row>
    <row r="132" spans="1:6" x14ac:dyDescent="0.3">
      <c r="A132" s="61" t="s">
        <v>268</v>
      </c>
      <c r="B132" s="62">
        <v>109250</v>
      </c>
      <c r="C132" s="61" t="s">
        <v>143</v>
      </c>
      <c r="D132" s="63">
        <v>2185</v>
      </c>
      <c r="E132" s="61">
        <v>4</v>
      </c>
      <c r="F132" s="61">
        <v>3</v>
      </c>
    </row>
    <row r="133" spans="1:6" x14ac:dyDescent="0.3">
      <c r="A133" s="61" t="s">
        <v>269</v>
      </c>
      <c r="B133" s="62">
        <v>113250</v>
      </c>
      <c r="C133" s="61" t="s">
        <v>145</v>
      </c>
      <c r="D133" s="63">
        <v>2265</v>
      </c>
      <c r="E133" s="61">
        <v>3</v>
      </c>
      <c r="F133" s="6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16ED5-0CCB-4703-AD62-DB0BBE9FE615}">
  <sheetPr>
    <tabColor theme="9" tint="-0.249977111117893"/>
  </sheetPr>
  <dimension ref="A2:I18"/>
  <sheetViews>
    <sheetView zoomScale="110" zoomScaleNormal="110" workbookViewId="0">
      <selection activeCell="E20" sqref="E20"/>
    </sheetView>
  </sheetViews>
  <sheetFormatPr defaultColWidth="7.4140625" defaultRowHeight="14.4" x14ac:dyDescent="0.3"/>
  <cols>
    <col min="1" max="1" width="12.6640625" style="4" bestFit="1" customWidth="1"/>
    <col min="2" max="2" width="9.83203125" style="4" bestFit="1" customWidth="1"/>
    <col min="3" max="4" width="7.4140625" style="4" bestFit="1" customWidth="1"/>
    <col min="5" max="5" width="7.4140625" style="4" customWidth="1"/>
    <col min="6" max="6" width="9.08203125" style="4" customWidth="1"/>
    <col min="7" max="7" width="0.75" style="4" customWidth="1"/>
    <col min="8" max="8" width="15.6640625" style="4" customWidth="1"/>
    <col min="9" max="9" width="11.5" style="4" bestFit="1" customWidth="1"/>
    <col min="10" max="16384" width="7.4140625" style="4"/>
  </cols>
  <sheetData>
    <row r="2" spans="1:9" ht="18.600000000000001" thickBot="1" x14ac:dyDescent="0.4">
      <c r="A2" s="81" t="s">
        <v>270</v>
      </c>
      <c r="B2" s="81"/>
      <c r="C2" s="81"/>
      <c r="D2" s="81"/>
      <c r="E2" s="81"/>
      <c r="F2" s="81"/>
      <c r="H2"/>
      <c r="I2"/>
    </row>
    <row r="3" spans="1:9" ht="24" thickTop="1" x14ac:dyDescent="0.45">
      <c r="A3" s="64"/>
      <c r="B3" s="64"/>
      <c r="C3" s="64"/>
      <c r="D3" s="64"/>
      <c r="E3" s="64"/>
      <c r="F3" s="64"/>
      <c r="H3"/>
      <c r="I3"/>
    </row>
    <row r="4" spans="1:9" ht="24" thickBot="1" x14ac:dyDescent="0.5">
      <c r="A4" s="65" t="s">
        <v>271</v>
      </c>
      <c r="B4" s="73">
        <v>34000</v>
      </c>
      <c r="C4" s="64"/>
      <c r="D4" s="64"/>
      <c r="E4" s="64"/>
      <c r="F4" s="64"/>
      <c r="H4"/>
      <c r="I4"/>
    </row>
    <row r="5" spans="1:9" ht="15.6" thickTop="1" thickBot="1" x14ac:dyDescent="0.35"/>
    <row r="6" spans="1:9" ht="16.2" thickBot="1" x14ac:dyDescent="0.35">
      <c r="A6" s="45" t="s">
        <v>272</v>
      </c>
      <c r="B6" s="45" t="s">
        <v>273</v>
      </c>
      <c r="C6" s="45" t="s">
        <v>274</v>
      </c>
      <c r="D6" s="45" t="s">
        <v>275</v>
      </c>
      <c r="E6" s="45" t="s">
        <v>276</v>
      </c>
      <c r="F6" s="45" t="s">
        <v>277</v>
      </c>
      <c r="G6" s="46"/>
      <c r="H6" s="47" t="s">
        <v>278</v>
      </c>
      <c r="I6" s="35"/>
    </row>
    <row r="7" spans="1:9" ht="15.6" x14ac:dyDescent="0.3">
      <c r="A7" s="48" t="s">
        <v>279</v>
      </c>
      <c r="B7" s="49">
        <v>9550</v>
      </c>
      <c r="C7" s="49">
        <v>9230</v>
      </c>
      <c r="D7" s="49">
        <v>8500</v>
      </c>
      <c r="E7" s="49">
        <v>8965</v>
      </c>
      <c r="F7" s="50">
        <f>SUM(B7:E7)</f>
        <v>36245</v>
      </c>
      <c r="G7" s="46"/>
      <c r="H7" s="51"/>
      <c r="I7" s="35"/>
    </row>
    <row r="8" spans="1:9" ht="15.6" x14ac:dyDescent="0.3">
      <c r="A8" s="48" t="s">
        <v>280</v>
      </c>
      <c r="B8" s="49">
        <v>5975</v>
      </c>
      <c r="C8" s="49">
        <v>6900</v>
      </c>
      <c r="D8" s="49">
        <v>8500</v>
      </c>
      <c r="E8" s="49">
        <v>10100</v>
      </c>
      <c r="F8" s="50">
        <f t="shared" ref="F8:F12" si="0">SUM(B8:E8)</f>
        <v>31475</v>
      </c>
      <c r="G8" s="46"/>
      <c r="H8" s="51"/>
      <c r="I8" s="35"/>
    </row>
    <row r="9" spans="1:9" ht="15.6" x14ac:dyDescent="0.3">
      <c r="A9" s="48" t="s">
        <v>281</v>
      </c>
      <c r="B9" s="49">
        <v>7825</v>
      </c>
      <c r="C9" s="49">
        <v>8580</v>
      </c>
      <c r="D9" s="49">
        <v>9910</v>
      </c>
      <c r="E9" s="49">
        <v>7512</v>
      </c>
      <c r="F9" s="50">
        <f t="shared" si="0"/>
        <v>33827</v>
      </c>
      <c r="G9" s="46"/>
      <c r="H9" s="51"/>
      <c r="I9" s="35"/>
    </row>
    <row r="10" spans="1:9" ht="15.6" x14ac:dyDescent="0.3">
      <c r="A10" s="48" t="s">
        <v>282</v>
      </c>
      <c r="B10" s="49">
        <v>9560</v>
      </c>
      <c r="C10" s="49">
        <v>10150</v>
      </c>
      <c r="D10" s="49">
        <v>11200</v>
      </c>
      <c r="E10" s="49">
        <v>9795</v>
      </c>
      <c r="F10" s="50">
        <f t="shared" si="0"/>
        <v>40705</v>
      </c>
      <c r="G10" s="46"/>
      <c r="H10" s="51"/>
      <c r="I10" s="35"/>
    </row>
    <row r="11" spans="1:9" ht="15.6" x14ac:dyDescent="0.3">
      <c r="A11" s="52" t="s">
        <v>283</v>
      </c>
      <c r="B11" s="53">
        <v>8800</v>
      </c>
      <c r="C11" s="53">
        <v>7645</v>
      </c>
      <c r="D11" s="53">
        <v>9250</v>
      </c>
      <c r="E11" s="53">
        <v>8304</v>
      </c>
      <c r="F11" s="50">
        <f t="shared" si="0"/>
        <v>33999</v>
      </c>
      <c r="G11" s="46"/>
      <c r="H11" s="51"/>
      <c r="I11" s="35"/>
    </row>
    <row r="12" spans="1:9" ht="16.2" thickBot="1" x14ac:dyDescent="0.35">
      <c r="A12" s="54" t="s">
        <v>284</v>
      </c>
      <c r="B12" s="55">
        <v>7892</v>
      </c>
      <c r="C12" s="55">
        <v>9695</v>
      </c>
      <c r="D12" s="55">
        <v>9520</v>
      </c>
      <c r="E12" s="55">
        <v>10252</v>
      </c>
      <c r="F12" s="50">
        <f t="shared" si="0"/>
        <v>37359</v>
      </c>
      <c r="G12" s="46"/>
      <c r="H12" s="51"/>
      <c r="I12" s="35"/>
    </row>
    <row r="14" spans="1:9" ht="28.5" hidden="1" customHeight="1" x14ac:dyDescent="0.3">
      <c r="D14" s="82" t="s">
        <v>285</v>
      </c>
      <c r="E14" s="83"/>
      <c r="F14" s="5"/>
      <c r="H14" s="6" t="s">
        <v>286</v>
      </c>
      <c r="I14" s="7"/>
    </row>
    <row r="15" spans="1:9" ht="29.25" hidden="1" customHeight="1" x14ac:dyDescent="0.3">
      <c r="D15" s="82" t="s">
        <v>287</v>
      </c>
      <c r="E15" s="83"/>
      <c r="F15" s="5"/>
    </row>
    <row r="16" spans="1:9" ht="24" hidden="1" customHeight="1" x14ac:dyDescent="0.3">
      <c r="D16" s="82" t="s">
        <v>288</v>
      </c>
      <c r="E16" s="83"/>
      <c r="F16" s="5"/>
    </row>
    <row r="17" spans="4:6" ht="26.25" hidden="1" customHeight="1" x14ac:dyDescent="0.3">
      <c r="D17" s="82" t="s">
        <v>289</v>
      </c>
      <c r="E17" s="83"/>
      <c r="F17" s="5"/>
    </row>
    <row r="18" spans="4:6" ht="25.5" hidden="1" customHeight="1" x14ac:dyDescent="0.3">
      <c r="D18" s="82" t="s">
        <v>290</v>
      </c>
      <c r="E18" s="83"/>
      <c r="F18" s="5"/>
    </row>
  </sheetData>
  <mergeCells count="6">
    <mergeCell ref="A2:F2"/>
    <mergeCell ref="D18:E18"/>
    <mergeCell ref="D17:E17"/>
    <mergeCell ref="D16:E16"/>
    <mergeCell ref="D15:E15"/>
    <mergeCell ref="D14:E14"/>
  </mergeCells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6876B-0FEC-4E20-B178-071F36FC1CCD}">
  <sheetPr>
    <tabColor theme="9" tint="-0.249977111117893"/>
  </sheetPr>
  <dimension ref="A1:L61"/>
  <sheetViews>
    <sheetView zoomScale="110" zoomScaleNormal="110" workbookViewId="0">
      <selection activeCell="F10" sqref="F10"/>
    </sheetView>
  </sheetViews>
  <sheetFormatPr defaultColWidth="7.4140625" defaultRowHeight="14.4" x14ac:dyDescent="0.3"/>
  <cols>
    <col min="1" max="1" width="1.08203125" style="8" customWidth="1"/>
    <col min="2" max="2" width="7.4140625" style="8" customWidth="1"/>
    <col min="3" max="3" width="14.58203125" style="9" customWidth="1"/>
    <col min="4" max="4" width="11.4140625" style="9" customWidth="1"/>
    <col min="5" max="6" width="11.4140625" style="8" customWidth="1"/>
    <col min="7" max="7" width="12.9140625" style="8" customWidth="1"/>
    <col min="8" max="8" width="2.6640625" style="8" customWidth="1"/>
    <col min="9" max="9" width="10.58203125" style="8" customWidth="1"/>
    <col min="10" max="10" width="12.33203125" style="8" bestFit="1" customWidth="1"/>
    <col min="11" max="11" width="12.08203125" style="8" customWidth="1"/>
    <col min="12" max="12" width="11.4140625" style="8" bestFit="1" customWidth="1"/>
    <col min="13" max="16384" width="7.4140625" style="8"/>
  </cols>
  <sheetData>
    <row r="1" spans="1:12" ht="21.6" thickBot="1" x14ac:dyDescent="0.35">
      <c r="B1" s="84" t="s">
        <v>291</v>
      </c>
      <c r="C1" s="85"/>
      <c r="D1" s="85"/>
      <c r="E1" s="85"/>
      <c r="F1" s="85"/>
      <c r="G1" s="86"/>
    </row>
    <row r="3" spans="1:12" ht="15.6" x14ac:dyDescent="0.3">
      <c r="B3" s="75" t="s">
        <v>292</v>
      </c>
      <c r="C3" s="75" t="s">
        <v>293</v>
      </c>
      <c r="D3" s="75" t="s">
        <v>294</v>
      </c>
      <c r="E3" s="75" t="s">
        <v>295</v>
      </c>
      <c r="F3" s="75" t="s">
        <v>296</v>
      </c>
      <c r="G3" s="76" t="s">
        <v>297</v>
      </c>
    </row>
    <row r="4" spans="1:12" x14ac:dyDescent="0.3">
      <c r="A4" s="10"/>
      <c r="B4" s="77" t="s">
        <v>298</v>
      </c>
      <c r="C4" s="78" t="s">
        <v>299</v>
      </c>
      <c r="D4" s="11">
        <v>800</v>
      </c>
      <c r="E4" s="11">
        <v>650</v>
      </c>
      <c r="F4" s="11">
        <v>700</v>
      </c>
      <c r="G4" s="79">
        <f t="shared" ref="G4:G35" si="0">SUM(D4:F4)</f>
        <v>2150</v>
      </c>
    </row>
    <row r="5" spans="1:12" ht="13.5" customHeight="1" x14ac:dyDescent="0.3">
      <c r="A5" s="10"/>
      <c r="B5" s="77" t="s">
        <v>298</v>
      </c>
      <c r="C5" s="78" t="s">
        <v>300</v>
      </c>
      <c r="D5" s="11">
        <v>900</v>
      </c>
      <c r="E5" s="11">
        <v>850</v>
      </c>
      <c r="F5" s="11">
        <v>850</v>
      </c>
      <c r="G5" s="79">
        <f t="shared" si="0"/>
        <v>2600</v>
      </c>
      <c r="J5" s="12"/>
      <c r="K5" s="12"/>
      <c r="L5" s="13"/>
    </row>
    <row r="6" spans="1:12" ht="13.5" customHeight="1" x14ac:dyDescent="0.3">
      <c r="A6" s="10"/>
      <c r="B6" s="77" t="s">
        <v>298</v>
      </c>
      <c r="C6" s="78" t="s">
        <v>301</v>
      </c>
      <c r="D6" s="11">
        <v>4850</v>
      </c>
      <c r="E6" s="11">
        <v>3200</v>
      </c>
      <c r="F6" s="11">
        <v>1155</v>
      </c>
      <c r="G6" s="79">
        <f t="shared" si="0"/>
        <v>9205</v>
      </c>
      <c r="I6" s="14" t="s">
        <v>293</v>
      </c>
      <c r="J6" s="14" t="s">
        <v>308</v>
      </c>
      <c r="L6" s="13"/>
    </row>
    <row r="7" spans="1:12" ht="13.5" customHeight="1" x14ac:dyDescent="0.3">
      <c r="A7" s="10"/>
      <c r="B7" s="77" t="s">
        <v>298</v>
      </c>
      <c r="C7" s="78" t="s">
        <v>302</v>
      </c>
      <c r="D7" s="11">
        <v>1250</v>
      </c>
      <c r="E7" s="11">
        <v>1250</v>
      </c>
      <c r="F7" s="11">
        <v>1250</v>
      </c>
      <c r="G7" s="79">
        <f t="shared" si="0"/>
        <v>3750</v>
      </c>
      <c r="I7" s="15" t="s">
        <v>303</v>
      </c>
      <c r="J7" s="17"/>
      <c r="L7" s="13"/>
    </row>
    <row r="8" spans="1:12" ht="13.5" customHeight="1" x14ac:dyDescent="0.3">
      <c r="A8" s="10"/>
      <c r="B8" s="77" t="s">
        <v>298</v>
      </c>
      <c r="C8" s="78" t="s">
        <v>303</v>
      </c>
      <c r="D8" s="11">
        <v>2025</v>
      </c>
      <c r="E8" s="11">
        <v>2200</v>
      </c>
      <c r="F8" s="11">
        <v>1650</v>
      </c>
      <c r="G8" s="79">
        <f t="shared" si="0"/>
        <v>5875</v>
      </c>
      <c r="L8" s="13"/>
    </row>
    <row r="9" spans="1:12" ht="13.5" customHeight="1" x14ac:dyDescent="0.3">
      <c r="A9" s="10"/>
      <c r="B9" s="77" t="s">
        <v>298</v>
      </c>
      <c r="C9" s="78" t="s">
        <v>304</v>
      </c>
      <c r="D9" s="11">
        <v>1350</v>
      </c>
      <c r="E9" s="11">
        <v>1500</v>
      </c>
      <c r="F9" s="11">
        <v>1700</v>
      </c>
      <c r="G9" s="79">
        <f t="shared" si="0"/>
        <v>4550</v>
      </c>
    </row>
    <row r="10" spans="1:12" x14ac:dyDescent="0.3">
      <c r="A10" s="10"/>
      <c r="B10" s="77" t="s">
        <v>298</v>
      </c>
      <c r="C10" s="78" t="s">
        <v>305</v>
      </c>
      <c r="D10" s="11">
        <v>3300</v>
      </c>
      <c r="E10" s="11">
        <v>3500</v>
      </c>
      <c r="F10" s="11">
        <v>3700</v>
      </c>
      <c r="G10" s="79">
        <f t="shared" si="0"/>
        <v>10500</v>
      </c>
    </row>
    <row r="11" spans="1:12" x14ac:dyDescent="0.3">
      <c r="A11" s="10"/>
      <c r="B11" s="77" t="s">
        <v>298</v>
      </c>
      <c r="C11" s="78" t="s">
        <v>306</v>
      </c>
      <c r="D11" s="11">
        <v>3825</v>
      </c>
      <c r="E11" s="11">
        <v>3725</v>
      </c>
      <c r="F11" s="11">
        <v>3750</v>
      </c>
      <c r="G11" s="79">
        <f t="shared" si="0"/>
        <v>11300</v>
      </c>
    </row>
    <row r="12" spans="1:12" ht="15.6" x14ac:dyDescent="0.3">
      <c r="A12" s="10"/>
      <c r="B12" s="77" t="s">
        <v>298</v>
      </c>
      <c r="C12" s="78" t="s">
        <v>307</v>
      </c>
      <c r="D12" s="11">
        <v>8900</v>
      </c>
      <c r="E12" s="11">
        <v>10315</v>
      </c>
      <c r="F12" s="11">
        <v>5250</v>
      </c>
      <c r="G12" s="79">
        <f t="shared" si="0"/>
        <v>24465</v>
      </c>
      <c r="I12" s="14" t="s">
        <v>293</v>
      </c>
      <c r="J12" s="14" t="s">
        <v>315</v>
      </c>
    </row>
    <row r="13" spans="1:12" x14ac:dyDescent="0.3">
      <c r="A13" s="10"/>
      <c r="B13" s="77" t="s">
        <v>298</v>
      </c>
      <c r="C13" s="78" t="s">
        <v>309</v>
      </c>
      <c r="D13" s="11">
        <v>6250</v>
      </c>
      <c r="E13" s="11">
        <v>6000</v>
      </c>
      <c r="F13" s="11">
        <v>6500</v>
      </c>
      <c r="G13" s="79">
        <f t="shared" si="0"/>
        <v>18750</v>
      </c>
      <c r="I13" s="15" t="s">
        <v>310</v>
      </c>
      <c r="J13" s="17"/>
    </row>
    <row r="14" spans="1:12" x14ac:dyDescent="0.3">
      <c r="A14" s="10"/>
      <c r="B14" s="77" t="s">
        <v>298</v>
      </c>
      <c r="C14" s="78" t="s">
        <v>310</v>
      </c>
      <c r="D14" s="11">
        <v>8000</v>
      </c>
      <c r="E14" s="11">
        <v>8000</v>
      </c>
      <c r="F14" s="11">
        <v>8000</v>
      </c>
      <c r="G14" s="79">
        <f t="shared" si="0"/>
        <v>24000</v>
      </c>
    </row>
    <row r="15" spans="1:12" x14ac:dyDescent="0.3">
      <c r="A15" s="10"/>
      <c r="B15" s="77" t="s">
        <v>298</v>
      </c>
      <c r="C15" s="78" t="s">
        <v>311</v>
      </c>
      <c r="D15" s="11">
        <v>11500</v>
      </c>
      <c r="E15" s="11">
        <v>12500</v>
      </c>
      <c r="F15" s="11">
        <v>12500</v>
      </c>
      <c r="G15" s="79">
        <f t="shared" si="0"/>
        <v>36500</v>
      </c>
    </row>
    <row r="16" spans="1:12" x14ac:dyDescent="0.3">
      <c r="A16" s="10"/>
      <c r="B16" s="77" t="s">
        <v>298</v>
      </c>
      <c r="C16" s="78" t="s">
        <v>312</v>
      </c>
      <c r="D16" s="11">
        <v>12250</v>
      </c>
      <c r="E16" s="11">
        <v>12250</v>
      </c>
      <c r="F16" s="11">
        <v>12750</v>
      </c>
      <c r="G16" s="79">
        <f t="shared" si="0"/>
        <v>37250</v>
      </c>
    </row>
    <row r="17" spans="1:11" x14ac:dyDescent="0.3">
      <c r="A17" s="10"/>
      <c r="B17" s="77" t="s">
        <v>298</v>
      </c>
      <c r="C17" s="78" t="s">
        <v>313</v>
      </c>
      <c r="D17" s="11">
        <v>25000</v>
      </c>
      <c r="E17" s="11">
        <v>24000</v>
      </c>
      <c r="F17" s="11">
        <v>26390</v>
      </c>
      <c r="G17" s="79">
        <f t="shared" si="0"/>
        <v>75390</v>
      </c>
    </row>
    <row r="18" spans="1:11" ht="15.6" x14ac:dyDescent="0.3">
      <c r="A18" s="10"/>
      <c r="B18" s="78" t="s">
        <v>314</v>
      </c>
      <c r="C18" s="78" t="s">
        <v>299</v>
      </c>
      <c r="D18" s="11">
        <v>800</v>
      </c>
      <c r="E18" s="11">
        <v>950</v>
      </c>
      <c r="F18" s="11">
        <v>750</v>
      </c>
      <c r="G18" s="79">
        <f t="shared" si="0"/>
        <v>2500</v>
      </c>
      <c r="I18" s="14" t="s">
        <v>292</v>
      </c>
      <c r="J18" s="14" t="s">
        <v>293</v>
      </c>
      <c r="K18" s="14" t="s">
        <v>297</v>
      </c>
    </row>
    <row r="19" spans="1:11" x14ac:dyDescent="0.3">
      <c r="B19" s="78" t="s">
        <v>314</v>
      </c>
      <c r="C19" s="78" t="s">
        <v>302</v>
      </c>
      <c r="D19" s="11">
        <v>850</v>
      </c>
      <c r="E19" s="11">
        <v>750</v>
      </c>
      <c r="F19" s="11">
        <v>800</v>
      </c>
      <c r="G19" s="79">
        <f t="shared" si="0"/>
        <v>2400</v>
      </c>
      <c r="I19" s="15" t="s">
        <v>298</v>
      </c>
      <c r="J19" s="15" t="s">
        <v>303</v>
      </c>
      <c r="K19" s="16"/>
    </row>
    <row r="20" spans="1:11" x14ac:dyDescent="0.3">
      <c r="B20" s="78" t="s">
        <v>314</v>
      </c>
      <c r="C20" s="78" t="s">
        <v>304</v>
      </c>
      <c r="D20" s="11">
        <v>940</v>
      </c>
      <c r="E20" s="11">
        <v>950</v>
      </c>
      <c r="F20" s="11">
        <v>820</v>
      </c>
      <c r="G20" s="79">
        <f t="shared" si="0"/>
        <v>2710</v>
      </c>
    </row>
    <row r="21" spans="1:11" x14ac:dyDescent="0.3">
      <c r="B21" s="78" t="s">
        <v>314</v>
      </c>
      <c r="C21" s="78" t="s">
        <v>300</v>
      </c>
      <c r="D21" s="11">
        <v>980</v>
      </c>
      <c r="E21" s="11">
        <v>850</v>
      </c>
      <c r="F21" s="11">
        <v>950</v>
      </c>
      <c r="G21" s="79">
        <f t="shared" si="0"/>
        <v>2780</v>
      </c>
    </row>
    <row r="22" spans="1:11" x14ac:dyDescent="0.3">
      <c r="B22" s="78" t="s">
        <v>314</v>
      </c>
      <c r="C22" s="78" t="s">
        <v>307</v>
      </c>
      <c r="D22" s="11">
        <v>1250</v>
      </c>
      <c r="E22" s="11">
        <v>1250</v>
      </c>
      <c r="F22" s="11">
        <v>1250</v>
      </c>
      <c r="G22" s="79">
        <f t="shared" si="0"/>
        <v>3750</v>
      </c>
    </row>
    <row r="23" spans="1:11" x14ac:dyDescent="0.3">
      <c r="B23" s="78" t="s">
        <v>314</v>
      </c>
      <c r="C23" s="78" t="s">
        <v>303</v>
      </c>
      <c r="D23" s="11">
        <v>1150</v>
      </c>
      <c r="E23" s="11">
        <v>1255</v>
      </c>
      <c r="F23" s="11">
        <v>1400</v>
      </c>
      <c r="G23" s="79">
        <f t="shared" si="0"/>
        <v>3805</v>
      </c>
    </row>
    <row r="24" spans="1:11" x14ac:dyDescent="0.3">
      <c r="B24" s="78" t="s">
        <v>314</v>
      </c>
      <c r="C24" s="78" t="s">
        <v>305</v>
      </c>
      <c r="D24" s="11">
        <v>2410</v>
      </c>
      <c r="E24" s="11">
        <v>1850</v>
      </c>
      <c r="F24" s="11">
        <v>2390</v>
      </c>
      <c r="G24" s="79">
        <f t="shared" si="0"/>
        <v>6650</v>
      </c>
    </row>
    <row r="25" spans="1:11" x14ac:dyDescent="0.3">
      <c r="B25" s="78" t="s">
        <v>314</v>
      </c>
      <c r="C25" s="78" t="s">
        <v>306</v>
      </c>
      <c r="D25" s="11">
        <v>3200</v>
      </c>
      <c r="E25" s="11">
        <v>3760</v>
      </c>
      <c r="F25" s="11">
        <v>3750</v>
      </c>
      <c r="G25" s="79">
        <f t="shared" si="0"/>
        <v>10710</v>
      </c>
    </row>
    <row r="26" spans="1:11" x14ac:dyDescent="0.3">
      <c r="B26" s="78" t="s">
        <v>314</v>
      </c>
      <c r="C26" s="78" t="s">
        <v>301</v>
      </c>
      <c r="D26" s="11">
        <v>5000</v>
      </c>
      <c r="E26" s="11">
        <v>4800</v>
      </c>
      <c r="F26" s="11">
        <v>4500</v>
      </c>
      <c r="G26" s="79">
        <f t="shared" si="0"/>
        <v>14300</v>
      </c>
    </row>
    <row r="27" spans="1:11" x14ac:dyDescent="0.3">
      <c r="B27" s="78" t="s">
        <v>314</v>
      </c>
      <c r="C27" s="78" t="s">
        <v>309</v>
      </c>
      <c r="D27" s="11">
        <v>5250</v>
      </c>
      <c r="E27" s="11">
        <v>8990</v>
      </c>
      <c r="F27" s="11">
        <v>5515</v>
      </c>
      <c r="G27" s="79">
        <f t="shared" si="0"/>
        <v>19755</v>
      </c>
    </row>
    <row r="28" spans="1:11" x14ac:dyDescent="0.3">
      <c r="B28" s="78" t="s">
        <v>314</v>
      </c>
      <c r="C28" s="78" t="s">
        <v>310</v>
      </c>
      <c r="D28" s="11">
        <v>6020</v>
      </c>
      <c r="E28" s="11">
        <v>6020</v>
      </c>
      <c r="F28" s="11">
        <v>6020</v>
      </c>
      <c r="G28" s="79">
        <f t="shared" si="0"/>
        <v>18060</v>
      </c>
    </row>
    <row r="29" spans="1:11" x14ac:dyDescent="0.3">
      <c r="B29" s="78" t="s">
        <v>314</v>
      </c>
      <c r="C29" s="78" t="s">
        <v>311</v>
      </c>
      <c r="D29" s="11">
        <v>12940</v>
      </c>
      <c r="E29" s="11">
        <v>11300</v>
      </c>
      <c r="F29" s="11">
        <v>11500</v>
      </c>
      <c r="G29" s="79">
        <f t="shared" si="0"/>
        <v>35740</v>
      </c>
    </row>
    <row r="30" spans="1:11" x14ac:dyDescent="0.3">
      <c r="B30" s="78" t="s">
        <v>314</v>
      </c>
      <c r="C30" s="78" t="s">
        <v>312</v>
      </c>
      <c r="D30" s="11">
        <v>14250</v>
      </c>
      <c r="E30" s="11">
        <v>15250</v>
      </c>
      <c r="F30" s="11">
        <v>12050</v>
      </c>
      <c r="G30" s="79">
        <f t="shared" si="0"/>
        <v>41550</v>
      </c>
    </row>
    <row r="31" spans="1:11" x14ac:dyDescent="0.3">
      <c r="B31" s="78" t="s">
        <v>314</v>
      </c>
      <c r="C31" s="78" t="s">
        <v>313</v>
      </c>
      <c r="D31" s="11">
        <v>25700</v>
      </c>
      <c r="E31" s="11">
        <v>24200</v>
      </c>
      <c r="F31" s="11">
        <v>26930</v>
      </c>
      <c r="G31" s="79">
        <f t="shared" si="0"/>
        <v>76830</v>
      </c>
    </row>
    <row r="32" spans="1:11" x14ac:dyDescent="0.3">
      <c r="B32" s="78" t="s">
        <v>316</v>
      </c>
      <c r="C32" s="78" t="s">
        <v>302</v>
      </c>
      <c r="D32" s="11">
        <v>2140</v>
      </c>
      <c r="E32" s="11">
        <v>2310</v>
      </c>
      <c r="F32" s="11">
        <v>2000</v>
      </c>
      <c r="G32" s="79">
        <f t="shared" si="0"/>
        <v>6450</v>
      </c>
    </row>
    <row r="33" spans="2:7" x14ac:dyDescent="0.3">
      <c r="B33" s="78" t="s">
        <v>316</v>
      </c>
      <c r="C33" s="78" t="s">
        <v>299</v>
      </c>
      <c r="D33" s="11">
        <v>730</v>
      </c>
      <c r="E33" s="11">
        <v>525</v>
      </c>
      <c r="F33" s="11">
        <v>430</v>
      </c>
      <c r="G33" s="79">
        <f t="shared" si="0"/>
        <v>1685</v>
      </c>
    </row>
    <row r="34" spans="2:7" x14ac:dyDescent="0.3">
      <c r="B34" s="78" t="s">
        <v>316</v>
      </c>
      <c r="C34" s="78" t="s">
        <v>300</v>
      </c>
      <c r="D34" s="11">
        <v>700</v>
      </c>
      <c r="E34" s="11">
        <v>750</v>
      </c>
      <c r="F34" s="11">
        <v>750</v>
      </c>
      <c r="G34" s="79">
        <f t="shared" si="0"/>
        <v>2200</v>
      </c>
    </row>
    <row r="35" spans="2:7" x14ac:dyDescent="0.3">
      <c r="B35" s="78" t="s">
        <v>316</v>
      </c>
      <c r="C35" s="78" t="s">
        <v>304</v>
      </c>
      <c r="D35" s="11">
        <v>2000</v>
      </c>
      <c r="E35" s="11">
        <v>950</v>
      </c>
      <c r="F35" s="11">
        <v>800</v>
      </c>
      <c r="G35" s="79">
        <f t="shared" si="0"/>
        <v>3750</v>
      </c>
    </row>
    <row r="36" spans="2:7" x14ac:dyDescent="0.3">
      <c r="B36" s="78" t="s">
        <v>316</v>
      </c>
      <c r="C36" s="78" t="s">
        <v>305</v>
      </c>
      <c r="D36" s="11">
        <v>745</v>
      </c>
      <c r="E36" s="11">
        <v>780</v>
      </c>
      <c r="F36" s="11">
        <v>900</v>
      </c>
      <c r="G36" s="79">
        <f t="shared" ref="G36:G61" si="1">SUM(D36:F36)</f>
        <v>2425</v>
      </c>
    </row>
    <row r="37" spans="2:7" x14ac:dyDescent="0.3">
      <c r="B37" s="78" t="s">
        <v>316</v>
      </c>
      <c r="C37" s="78" t="s">
        <v>303</v>
      </c>
      <c r="D37" s="11">
        <v>1150</v>
      </c>
      <c r="E37" s="11">
        <v>1200</v>
      </c>
      <c r="F37" s="11">
        <v>1400</v>
      </c>
      <c r="G37" s="79">
        <f t="shared" si="1"/>
        <v>3750</v>
      </c>
    </row>
    <row r="38" spans="2:7" x14ac:dyDescent="0.3">
      <c r="B38" s="78" t="s">
        <v>316</v>
      </c>
      <c r="C38" s="78" t="s">
        <v>301</v>
      </c>
      <c r="D38" s="11">
        <v>2780</v>
      </c>
      <c r="E38" s="11">
        <v>3590</v>
      </c>
      <c r="F38" s="11">
        <v>2300</v>
      </c>
      <c r="G38" s="79">
        <f t="shared" si="1"/>
        <v>8670</v>
      </c>
    </row>
    <row r="39" spans="2:7" x14ac:dyDescent="0.3">
      <c r="B39" s="78" t="s">
        <v>316</v>
      </c>
      <c r="C39" s="78" t="s">
        <v>307</v>
      </c>
      <c r="D39" s="11">
        <v>3490</v>
      </c>
      <c r="E39" s="11">
        <v>32840</v>
      </c>
      <c r="F39" s="11">
        <v>3070</v>
      </c>
      <c r="G39" s="79">
        <f t="shared" si="1"/>
        <v>39400</v>
      </c>
    </row>
    <row r="40" spans="2:7" x14ac:dyDescent="0.3">
      <c r="B40" s="78" t="s">
        <v>316</v>
      </c>
      <c r="C40" s="78" t="s">
        <v>310</v>
      </c>
      <c r="D40" s="11">
        <v>4700</v>
      </c>
      <c r="E40" s="11">
        <v>4700</v>
      </c>
      <c r="F40" s="11">
        <v>4700</v>
      </c>
      <c r="G40" s="79">
        <f t="shared" si="1"/>
        <v>14100</v>
      </c>
    </row>
    <row r="41" spans="2:7" x14ac:dyDescent="0.3">
      <c r="B41" s="78" t="s">
        <v>316</v>
      </c>
      <c r="C41" s="78" t="s">
        <v>309</v>
      </c>
      <c r="D41" s="11">
        <v>5250</v>
      </c>
      <c r="E41" s="11">
        <v>5000</v>
      </c>
      <c r="F41" s="11">
        <v>5500</v>
      </c>
      <c r="G41" s="79">
        <f t="shared" si="1"/>
        <v>15750</v>
      </c>
    </row>
    <row r="42" spans="2:7" x14ac:dyDescent="0.3">
      <c r="B42" s="78" t="s">
        <v>316</v>
      </c>
      <c r="C42" s="78" t="s">
        <v>306</v>
      </c>
      <c r="D42" s="11">
        <v>6980</v>
      </c>
      <c r="E42" s="11">
        <v>6310</v>
      </c>
      <c r="F42" s="11">
        <v>6375</v>
      </c>
      <c r="G42" s="79">
        <f t="shared" si="1"/>
        <v>19665</v>
      </c>
    </row>
    <row r="43" spans="2:7" x14ac:dyDescent="0.3">
      <c r="B43" s="78" t="s">
        <v>316</v>
      </c>
      <c r="C43" s="78" t="s">
        <v>312</v>
      </c>
      <c r="D43" s="11">
        <v>11250</v>
      </c>
      <c r="E43" s="11">
        <v>11250</v>
      </c>
      <c r="F43" s="11">
        <v>11750</v>
      </c>
      <c r="G43" s="79">
        <f t="shared" si="1"/>
        <v>34250</v>
      </c>
    </row>
    <row r="44" spans="2:7" x14ac:dyDescent="0.3">
      <c r="B44" s="78" t="s">
        <v>316</v>
      </c>
      <c r="C44" s="78" t="s">
        <v>311</v>
      </c>
      <c r="D44" s="11">
        <v>24500</v>
      </c>
      <c r="E44" s="11">
        <v>23500</v>
      </c>
      <c r="F44" s="11">
        <v>24500</v>
      </c>
      <c r="G44" s="79">
        <f t="shared" si="1"/>
        <v>72500</v>
      </c>
    </row>
    <row r="45" spans="2:7" x14ac:dyDescent="0.3">
      <c r="B45" s="78" t="s">
        <v>316</v>
      </c>
      <c r="C45" s="78" t="s">
        <v>317</v>
      </c>
      <c r="D45" s="11">
        <v>56900</v>
      </c>
      <c r="E45" s="11">
        <v>62800</v>
      </c>
      <c r="F45" s="11">
        <v>60870</v>
      </c>
      <c r="G45" s="79">
        <f t="shared" si="1"/>
        <v>180570</v>
      </c>
    </row>
    <row r="46" spans="2:7" x14ac:dyDescent="0.3">
      <c r="B46" s="78" t="s">
        <v>316</v>
      </c>
      <c r="C46" s="78" t="s">
        <v>313</v>
      </c>
      <c r="D46" s="11">
        <v>24290</v>
      </c>
      <c r="E46" s="11">
        <v>24050</v>
      </c>
      <c r="F46" s="11">
        <v>26600</v>
      </c>
      <c r="G46" s="79">
        <f t="shared" si="1"/>
        <v>74940</v>
      </c>
    </row>
    <row r="47" spans="2:7" x14ac:dyDescent="0.3">
      <c r="B47" s="78" t="s">
        <v>318</v>
      </c>
      <c r="C47" s="78" t="s">
        <v>302</v>
      </c>
      <c r="D47" s="11">
        <v>775</v>
      </c>
      <c r="E47" s="11">
        <v>750</v>
      </c>
      <c r="F47" s="11">
        <v>700</v>
      </c>
      <c r="G47" s="79">
        <f t="shared" si="1"/>
        <v>2225</v>
      </c>
    </row>
    <row r="48" spans="2:7" x14ac:dyDescent="0.3">
      <c r="B48" s="78" t="s">
        <v>318</v>
      </c>
      <c r="C48" s="78" t="s">
        <v>300</v>
      </c>
      <c r="D48" s="11">
        <v>700</v>
      </c>
      <c r="E48" s="11">
        <v>750</v>
      </c>
      <c r="F48" s="11">
        <v>750</v>
      </c>
      <c r="G48" s="79">
        <f t="shared" si="1"/>
        <v>2200</v>
      </c>
    </row>
    <row r="49" spans="2:7" x14ac:dyDescent="0.3">
      <c r="B49" s="78" t="s">
        <v>318</v>
      </c>
      <c r="C49" s="78" t="s">
        <v>299</v>
      </c>
      <c r="D49" s="11">
        <v>300</v>
      </c>
      <c r="E49" s="11">
        <v>100</v>
      </c>
      <c r="F49" s="11">
        <v>150</v>
      </c>
      <c r="G49" s="79">
        <f t="shared" si="1"/>
        <v>550</v>
      </c>
    </row>
    <row r="50" spans="2:7" x14ac:dyDescent="0.3">
      <c r="B50" s="78" t="s">
        <v>318</v>
      </c>
      <c r="C50" s="78" t="s">
        <v>305</v>
      </c>
      <c r="D50" s="11">
        <v>2000</v>
      </c>
      <c r="E50" s="11">
        <v>1800</v>
      </c>
      <c r="F50" s="11">
        <v>1900</v>
      </c>
      <c r="G50" s="79">
        <f t="shared" si="1"/>
        <v>5700</v>
      </c>
    </row>
    <row r="51" spans="2:7" x14ac:dyDescent="0.3">
      <c r="B51" s="78" t="s">
        <v>318</v>
      </c>
      <c r="C51" s="78" t="s">
        <v>304</v>
      </c>
      <c r="D51" s="11">
        <v>2000</v>
      </c>
      <c r="E51" s="11">
        <v>950</v>
      </c>
      <c r="F51" s="11">
        <v>800</v>
      </c>
      <c r="G51" s="79">
        <f t="shared" si="1"/>
        <v>3750</v>
      </c>
    </row>
    <row r="52" spans="2:7" x14ac:dyDescent="0.3">
      <c r="B52" s="78" t="s">
        <v>318</v>
      </c>
      <c r="C52" s="78" t="s">
        <v>307</v>
      </c>
      <c r="D52" s="11">
        <v>1250</v>
      </c>
      <c r="E52" s="11">
        <v>1250</v>
      </c>
      <c r="F52" s="11">
        <v>1250</v>
      </c>
      <c r="G52" s="79">
        <f t="shared" si="1"/>
        <v>3750</v>
      </c>
    </row>
    <row r="53" spans="2:7" x14ac:dyDescent="0.3">
      <c r="B53" s="78" t="s">
        <v>318</v>
      </c>
      <c r="C53" s="78" t="s">
        <v>303</v>
      </c>
      <c r="D53" s="11">
        <v>1150</v>
      </c>
      <c r="E53" s="11">
        <v>1200</v>
      </c>
      <c r="F53" s="11">
        <v>1435</v>
      </c>
      <c r="G53" s="79">
        <f t="shared" si="1"/>
        <v>3785</v>
      </c>
    </row>
    <row r="54" spans="2:7" x14ac:dyDescent="0.3">
      <c r="B54" s="78" t="s">
        <v>318</v>
      </c>
      <c r="C54" s="78" t="s">
        <v>306</v>
      </c>
      <c r="D54" s="11">
        <v>3800</v>
      </c>
      <c r="E54" s="11">
        <v>3700</v>
      </c>
      <c r="F54" s="11">
        <v>3750</v>
      </c>
      <c r="G54" s="79">
        <f t="shared" si="1"/>
        <v>11250</v>
      </c>
    </row>
    <row r="55" spans="2:7" x14ac:dyDescent="0.3">
      <c r="B55" s="78" t="s">
        <v>318</v>
      </c>
      <c r="C55" s="78" t="s">
        <v>301</v>
      </c>
      <c r="D55" s="11">
        <v>5000</v>
      </c>
      <c r="E55" s="11">
        <v>4800</v>
      </c>
      <c r="F55" s="11">
        <v>4545</v>
      </c>
      <c r="G55" s="79">
        <f t="shared" si="1"/>
        <v>14345</v>
      </c>
    </row>
    <row r="56" spans="2:7" x14ac:dyDescent="0.3">
      <c r="B56" s="78" t="s">
        <v>318</v>
      </c>
      <c r="C56" s="78" t="s">
        <v>310</v>
      </c>
      <c r="D56" s="11">
        <v>5000</v>
      </c>
      <c r="E56" s="11">
        <v>5000</v>
      </c>
      <c r="F56" s="11">
        <v>5000</v>
      </c>
      <c r="G56" s="79">
        <f t="shared" si="1"/>
        <v>15000</v>
      </c>
    </row>
    <row r="57" spans="2:7" x14ac:dyDescent="0.3">
      <c r="B57" s="78" t="s">
        <v>318</v>
      </c>
      <c r="C57" s="78" t="s">
        <v>309</v>
      </c>
      <c r="D57" s="11">
        <v>5250</v>
      </c>
      <c r="E57" s="11">
        <v>5335</v>
      </c>
      <c r="F57" s="11">
        <v>5500</v>
      </c>
      <c r="G57" s="79">
        <f t="shared" si="1"/>
        <v>16085</v>
      </c>
    </row>
    <row r="58" spans="2:7" x14ac:dyDescent="0.3">
      <c r="B58" s="78" t="s">
        <v>318</v>
      </c>
      <c r="C58" s="78" t="s">
        <v>312</v>
      </c>
      <c r="D58" s="11">
        <v>10250</v>
      </c>
      <c r="E58" s="11">
        <v>10250</v>
      </c>
      <c r="F58" s="11">
        <v>10750</v>
      </c>
      <c r="G58" s="79">
        <f t="shared" si="1"/>
        <v>31250</v>
      </c>
    </row>
    <row r="59" spans="2:7" x14ac:dyDescent="0.3">
      <c r="B59" s="78" t="s">
        <v>318</v>
      </c>
      <c r="C59" s="78" t="s">
        <v>311</v>
      </c>
      <c r="D59" s="11">
        <v>14500</v>
      </c>
      <c r="E59" s="11">
        <v>13500</v>
      </c>
      <c r="F59" s="11">
        <v>15500</v>
      </c>
      <c r="G59" s="79">
        <f t="shared" si="1"/>
        <v>43500</v>
      </c>
    </row>
    <row r="60" spans="2:7" x14ac:dyDescent="0.3">
      <c r="B60" s="78" t="s">
        <v>318</v>
      </c>
      <c r="C60" s="78" t="s">
        <v>317</v>
      </c>
      <c r="D60" s="11">
        <v>72000</v>
      </c>
      <c r="E60" s="11">
        <v>70000</v>
      </c>
      <c r="F60" s="11">
        <v>70000</v>
      </c>
      <c r="G60" s="79">
        <f t="shared" si="1"/>
        <v>212000</v>
      </c>
    </row>
    <row r="61" spans="2:7" x14ac:dyDescent="0.3">
      <c r="B61" s="78" t="s">
        <v>318</v>
      </c>
      <c r="C61" s="78" t="s">
        <v>313</v>
      </c>
      <c r="D61" s="11">
        <v>25000</v>
      </c>
      <c r="E61" s="11">
        <v>24000</v>
      </c>
      <c r="F61" s="11">
        <v>26000</v>
      </c>
      <c r="G61" s="79">
        <f t="shared" si="1"/>
        <v>75000</v>
      </c>
    </row>
  </sheetData>
  <mergeCells count="1">
    <mergeCell ref="B1:G1"/>
  </mergeCells>
  <printOptions gridLines="1" gridLinesSet="0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1364B-494B-4ED5-ACFB-6F3AFE2BD35E}">
  <dimension ref="A1:C18"/>
  <sheetViews>
    <sheetView zoomScale="175" zoomScaleNormal="175" workbookViewId="0">
      <selection activeCell="D12" sqref="D12"/>
    </sheetView>
  </sheetViews>
  <sheetFormatPr defaultColWidth="8.75" defaultRowHeight="15.6" x14ac:dyDescent="0.3"/>
  <cols>
    <col min="1" max="1" width="12" style="24" customWidth="1"/>
    <col min="2" max="2" width="9.5" style="24" customWidth="1"/>
    <col min="3" max="3" width="7.5" style="24" bestFit="1" customWidth="1"/>
    <col min="4" max="16384" width="8.75" style="24"/>
  </cols>
  <sheetData>
    <row r="1" spans="1:3" x14ac:dyDescent="0.3">
      <c r="A1" s="24" t="s">
        <v>319</v>
      </c>
      <c r="B1" s="24" t="s">
        <v>320</v>
      </c>
      <c r="C1" s="24" t="s">
        <v>321</v>
      </c>
    </row>
    <row r="2" spans="1:3" x14ac:dyDescent="0.3">
      <c r="A2" s="24" t="s">
        <v>322</v>
      </c>
      <c r="B2" s="24" t="s">
        <v>323</v>
      </c>
      <c r="C2" s="25">
        <v>43466</v>
      </c>
    </row>
    <row r="3" spans="1:3" x14ac:dyDescent="0.3">
      <c r="A3" s="24" t="s">
        <v>324</v>
      </c>
      <c r="B3" s="24" t="s">
        <v>325</v>
      </c>
      <c r="C3" s="25">
        <v>43529</v>
      </c>
    </row>
    <row r="4" spans="1:3" x14ac:dyDescent="0.3">
      <c r="A4" s="24" t="s">
        <v>326</v>
      </c>
      <c r="B4" s="24" t="s">
        <v>327</v>
      </c>
      <c r="C4" s="25">
        <v>43532</v>
      </c>
    </row>
    <row r="5" spans="1:3" x14ac:dyDescent="0.3">
      <c r="A5" s="24" t="s">
        <v>328</v>
      </c>
      <c r="B5" s="24" t="s">
        <v>327</v>
      </c>
      <c r="C5" s="25">
        <v>43534</v>
      </c>
    </row>
    <row r="6" spans="1:3" x14ac:dyDescent="0.3">
      <c r="A6" s="24" t="s">
        <v>328</v>
      </c>
      <c r="B6" s="24" t="s">
        <v>329</v>
      </c>
      <c r="C6" s="25">
        <v>43539</v>
      </c>
    </row>
    <row r="7" spans="1:3" x14ac:dyDescent="0.3">
      <c r="A7" s="24" t="s">
        <v>330</v>
      </c>
      <c r="B7" s="24" t="s">
        <v>325</v>
      </c>
      <c r="C7" s="25">
        <v>43568</v>
      </c>
    </row>
    <row r="8" spans="1:3" x14ac:dyDescent="0.3">
      <c r="A8" s="24" t="s">
        <v>324</v>
      </c>
      <c r="B8" s="24" t="s">
        <v>325</v>
      </c>
      <c r="C8" s="25">
        <v>43591</v>
      </c>
    </row>
    <row r="9" spans="1:3" x14ac:dyDescent="0.3">
      <c r="A9" s="24" t="s">
        <v>331</v>
      </c>
      <c r="B9" s="24" t="s">
        <v>325</v>
      </c>
      <c r="C9" s="25">
        <v>43599</v>
      </c>
    </row>
    <row r="10" spans="1:3" x14ac:dyDescent="0.3">
      <c r="A10" s="24" t="s">
        <v>331</v>
      </c>
      <c r="B10" s="24" t="s">
        <v>332</v>
      </c>
      <c r="C10" s="25">
        <v>43610</v>
      </c>
    </row>
    <row r="11" spans="1:3" x14ac:dyDescent="0.3">
      <c r="A11" s="24" t="s">
        <v>326</v>
      </c>
      <c r="B11" s="24" t="s">
        <v>329</v>
      </c>
      <c r="C11" s="25">
        <v>43645</v>
      </c>
    </row>
    <row r="12" spans="1:3" x14ac:dyDescent="0.3">
      <c r="A12" s="24" t="s">
        <v>333</v>
      </c>
      <c r="B12" s="24" t="s">
        <v>323</v>
      </c>
      <c r="C12" s="25">
        <v>43737</v>
      </c>
    </row>
    <row r="15" spans="1:3" x14ac:dyDescent="0.3">
      <c r="A15" s="26" t="s">
        <v>334</v>
      </c>
      <c r="B15" s="26"/>
    </row>
    <row r="16" spans="1:3" x14ac:dyDescent="0.3">
      <c r="A16" s="24" t="str" cm="1">
        <f t="array" ref="A16:A18">_xlfn.UNIQUE(Table10[Customer Name],,TRUE)</f>
        <v>Fife, Grant</v>
      </c>
    </row>
    <row r="17" spans="1:1" x14ac:dyDescent="0.3">
      <c r="A17" s="24" t="str">
        <v>Larson, Lynn</v>
      </c>
    </row>
    <row r="18" spans="1:1" x14ac:dyDescent="0.3">
      <c r="A18" s="24" t="str">
        <v>Brown,Charity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811FE-5F5E-4594-AE00-47AD16932941}">
  <dimension ref="A1:J7"/>
  <sheetViews>
    <sheetView zoomScale="220" zoomScaleNormal="220" workbookViewId="0">
      <selection activeCell="D12" sqref="D12"/>
    </sheetView>
  </sheetViews>
  <sheetFormatPr defaultColWidth="8.75" defaultRowHeight="15.6" x14ac:dyDescent="0.3"/>
  <cols>
    <col min="1" max="16384" width="8.75" style="24"/>
  </cols>
  <sheetData>
    <row r="1" spans="1:10" x14ac:dyDescent="0.3">
      <c r="A1" s="27" t="s">
        <v>335</v>
      </c>
      <c r="B1" s="27" t="s">
        <v>336</v>
      </c>
      <c r="C1" s="27" t="s">
        <v>337</v>
      </c>
      <c r="D1" s="27" t="s">
        <v>338</v>
      </c>
      <c r="G1" s="27" t="s">
        <v>339</v>
      </c>
    </row>
    <row r="2" spans="1:10" x14ac:dyDescent="0.3">
      <c r="A2" s="24" t="s">
        <v>298</v>
      </c>
      <c r="B2" s="24" t="s">
        <v>70</v>
      </c>
      <c r="C2" s="24" t="s">
        <v>340</v>
      </c>
      <c r="D2" s="28">
        <v>6380</v>
      </c>
      <c r="G2" s="24" t="str" cm="1">
        <f t="array" ref="G2:J7">_xlfn._xlws.SORT(A2:D7,4,1)</f>
        <v>East</v>
      </c>
      <c r="H2" s="24" t="str">
        <v>Fritz</v>
      </c>
      <c r="I2" s="24" t="str">
        <v>Apple</v>
      </c>
      <c r="J2" s="24">
        <v>4394</v>
      </c>
    </row>
    <row r="3" spans="1:10" x14ac:dyDescent="0.3">
      <c r="A3" s="24" t="s">
        <v>318</v>
      </c>
      <c r="B3" s="24" t="s">
        <v>341</v>
      </c>
      <c r="C3" s="24" t="s">
        <v>342</v>
      </c>
      <c r="D3" s="28">
        <v>5619</v>
      </c>
      <c r="G3" s="24" t="str">
        <v>North</v>
      </c>
      <c r="H3" s="24" t="str">
        <v>Amy</v>
      </c>
      <c r="I3" s="24" t="str">
        <v>Pear</v>
      </c>
      <c r="J3" s="24">
        <v>4565</v>
      </c>
    </row>
    <row r="4" spans="1:10" x14ac:dyDescent="0.3">
      <c r="A4" s="24" t="s">
        <v>314</v>
      </c>
      <c r="B4" s="24" t="s">
        <v>343</v>
      </c>
      <c r="C4" s="24" t="s">
        <v>344</v>
      </c>
      <c r="D4" s="28">
        <v>4565</v>
      </c>
      <c r="G4" s="24" t="str">
        <v>South</v>
      </c>
      <c r="H4" s="24" t="str">
        <v>Sal</v>
      </c>
      <c r="I4" s="24" t="str">
        <v>Banana</v>
      </c>
      <c r="J4" s="24">
        <v>5323</v>
      </c>
    </row>
    <row r="5" spans="1:10" x14ac:dyDescent="0.3">
      <c r="A5" s="24" t="s">
        <v>316</v>
      </c>
      <c r="B5" s="24" t="s">
        <v>345</v>
      </c>
      <c r="C5" s="24" t="s">
        <v>346</v>
      </c>
      <c r="D5" s="28">
        <v>5323</v>
      </c>
      <c r="G5" s="24" t="str">
        <v>West</v>
      </c>
      <c r="H5" s="24" t="str">
        <v>Fred</v>
      </c>
      <c r="I5" s="24" t="str">
        <v>Grape</v>
      </c>
      <c r="J5" s="24">
        <v>5619</v>
      </c>
    </row>
    <row r="6" spans="1:10" x14ac:dyDescent="0.3">
      <c r="A6" s="24" t="s">
        <v>298</v>
      </c>
      <c r="B6" s="24" t="s">
        <v>347</v>
      </c>
      <c r="C6" s="24" t="s">
        <v>340</v>
      </c>
      <c r="D6" s="28">
        <v>4394</v>
      </c>
      <c r="G6" s="24" t="str">
        <v>East</v>
      </c>
      <c r="H6" s="24" t="str">
        <v>Tom</v>
      </c>
      <c r="I6" s="24" t="str">
        <v>Apple</v>
      </c>
      <c r="J6" s="24">
        <v>6380</v>
      </c>
    </row>
    <row r="7" spans="1:10" x14ac:dyDescent="0.3">
      <c r="A7" s="24" t="s">
        <v>318</v>
      </c>
      <c r="B7" s="24" t="s">
        <v>348</v>
      </c>
      <c r="C7" s="24" t="s">
        <v>342</v>
      </c>
      <c r="D7" s="28">
        <v>7195</v>
      </c>
      <c r="G7" s="24" t="str">
        <v>West</v>
      </c>
      <c r="H7" s="24" t="str">
        <v>Sravan</v>
      </c>
      <c r="I7" s="24" t="str">
        <v>Grape</v>
      </c>
      <c r="J7" s="24">
        <v>7195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CE11F-87CE-42C9-AD65-F37C8A301E17}">
  <dimension ref="A1:I8"/>
  <sheetViews>
    <sheetView zoomScale="175" zoomScaleNormal="175" workbookViewId="0">
      <selection activeCell="D12" sqref="D12"/>
    </sheetView>
  </sheetViews>
  <sheetFormatPr defaultColWidth="8.75" defaultRowHeight="15.6" x14ac:dyDescent="0.3"/>
  <cols>
    <col min="1" max="1" width="8.75" style="24"/>
    <col min="2" max="2" width="7.4140625" style="24" customWidth="1"/>
    <col min="3" max="16384" width="8.75" style="24"/>
  </cols>
  <sheetData>
    <row r="1" spans="1:9" ht="23.4" x14ac:dyDescent="0.45">
      <c r="A1" s="29" t="s">
        <v>349</v>
      </c>
      <c r="F1" s="30" t="s">
        <v>337</v>
      </c>
      <c r="G1" s="31" t="s">
        <v>344</v>
      </c>
    </row>
    <row r="2" spans="1:9" x14ac:dyDescent="0.3">
      <c r="F2" s="30" t="s">
        <v>335</v>
      </c>
      <c r="G2" s="31" t="s">
        <v>316</v>
      </c>
    </row>
    <row r="3" spans="1:9" x14ac:dyDescent="0.3">
      <c r="A3" s="24" t="s">
        <v>335</v>
      </c>
      <c r="B3" s="24" t="s">
        <v>336</v>
      </c>
      <c r="C3" s="24" t="s">
        <v>337</v>
      </c>
      <c r="D3" s="24" t="s">
        <v>338</v>
      </c>
      <c r="F3" s="32" t="s">
        <v>335</v>
      </c>
      <c r="G3" s="33" t="s">
        <v>336</v>
      </c>
      <c r="H3" s="33" t="s">
        <v>337</v>
      </c>
      <c r="I3" s="34" t="s">
        <v>338</v>
      </c>
    </row>
    <row r="4" spans="1:9" x14ac:dyDescent="0.3">
      <c r="A4" s="24" t="s">
        <v>298</v>
      </c>
      <c r="B4" s="24" t="s">
        <v>341</v>
      </c>
      <c r="C4" s="24" t="s">
        <v>340</v>
      </c>
      <c r="D4" s="28">
        <v>6380</v>
      </c>
      <c r="F4" s="24" t="str" cm="1">
        <f t="array" ref="F4:I4">_xlfn._xlws.FILTER(Table3[],Table3[Product]=G1)</f>
        <v xml:space="preserve">North </v>
      </c>
      <c r="G4" s="24" t="str">
        <v>Sal</v>
      </c>
      <c r="H4" s="24" t="str">
        <v>Pear</v>
      </c>
      <c r="I4" s="24">
        <v>5323</v>
      </c>
    </row>
    <row r="5" spans="1:9" x14ac:dyDescent="0.3">
      <c r="A5" s="24" t="s">
        <v>318</v>
      </c>
      <c r="B5" s="24" t="s">
        <v>343</v>
      </c>
      <c r="C5" s="24" t="s">
        <v>346</v>
      </c>
      <c r="D5" s="28">
        <v>5619</v>
      </c>
    </row>
    <row r="6" spans="1:9" x14ac:dyDescent="0.3">
      <c r="A6" s="24" t="s">
        <v>350</v>
      </c>
      <c r="B6" s="24" t="s">
        <v>345</v>
      </c>
      <c r="C6" s="24" t="s">
        <v>344</v>
      </c>
      <c r="D6" s="28">
        <v>5323</v>
      </c>
    </row>
    <row r="7" spans="1:9" x14ac:dyDescent="0.3">
      <c r="A7" s="24" t="s">
        <v>316</v>
      </c>
      <c r="B7" s="24" t="s">
        <v>347</v>
      </c>
      <c r="C7" s="24" t="s">
        <v>346</v>
      </c>
      <c r="D7" s="28">
        <v>1195</v>
      </c>
    </row>
    <row r="8" spans="1:9" x14ac:dyDescent="0.3">
      <c r="A8" s="24" t="s">
        <v>298</v>
      </c>
      <c r="B8" s="24" t="s">
        <v>351</v>
      </c>
      <c r="C8" s="24" t="s">
        <v>346</v>
      </c>
      <c r="D8" s="28">
        <v>2437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3B0A0-1283-45CF-AC70-370D4F73753E}">
  <sheetPr>
    <tabColor theme="9" tint="0.39997558519241921"/>
  </sheetPr>
  <dimension ref="A1:F9"/>
  <sheetViews>
    <sheetView tabSelected="1" zoomScale="110" zoomScaleNormal="110" workbookViewId="0">
      <selection activeCell="F2" sqref="F2"/>
    </sheetView>
  </sheetViews>
  <sheetFormatPr defaultColWidth="7" defaultRowHeight="14.4" x14ac:dyDescent="0.3"/>
  <cols>
    <col min="1" max="1" width="11.75" style="4" bestFit="1" customWidth="1"/>
    <col min="2" max="5" width="8.4140625" style="4" customWidth="1"/>
    <col min="6" max="6" width="8" style="4" bestFit="1" customWidth="1"/>
    <col min="7" max="16384" width="7" style="4"/>
  </cols>
  <sheetData>
    <row r="1" spans="1:6" ht="23.4" x14ac:dyDescent="0.45">
      <c r="A1" s="87" t="s">
        <v>352</v>
      </c>
      <c r="B1" s="87"/>
      <c r="C1" s="87"/>
      <c r="D1" s="87"/>
      <c r="E1" s="87"/>
    </row>
    <row r="2" spans="1:6" ht="23.4" x14ac:dyDescent="0.45">
      <c r="A2" s="88">
        <f ca="1">TODAY()</f>
        <v>46197</v>
      </c>
      <c r="B2" s="88"/>
      <c r="C2" s="88"/>
      <c r="D2" s="88"/>
      <c r="E2" s="88"/>
    </row>
    <row r="4" spans="1:6" ht="16.2" x14ac:dyDescent="0.35">
      <c r="A4" s="74" t="s">
        <v>353</v>
      </c>
      <c r="B4" s="74" t="s">
        <v>273</v>
      </c>
      <c r="C4" s="74" t="s">
        <v>274</v>
      </c>
      <c r="D4" s="74" t="s">
        <v>275</v>
      </c>
      <c r="E4" s="74" t="s">
        <v>276</v>
      </c>
      <c r="F4" s="18"/>
    </row>
    <row r="5" spans="1:6" ht="15.6" x14ac:dyDescent="0.3">
      <c r="A5" s="56" t="s">
        <v>354</v>
      </c>
      <c r="B5" s="57">
        <v>4520</v>
      </c>
      <c r="C5" s="57">
        <v>3620</v>
      </c>
      <c r="D5" s="57">
        <v>2560</v>
      </c>
      <c r="E5" s="57">
        <v>2750</v>
      </c>
      <c r="F5" s="18"/>
    </row>
    <row r="6" spans="1:6" ht="15.6" x14ac:dyDescent="0.3">
      <c r="A6" s="56" t="s">
        <v>355</v>
      </c>
      <c r="B6" s="57">
        <v>3220</v>
      </c>
      <c r="C6" s="57">
        <v>5230</v>
      </c>
      <c r="D6" s="57">
        <v>4550</v>
      </c>
      <c r="E6" s="57">
        <v>5400</v>
      </c>
      <c r="F6" s="18"/>
    </row>
    <row r="7" spans="1:6" ht="15.6" x14ac:dyDescent="0.3">
      <c r="A7" s="56" t="s">
        <v>356</v>
      </c>
      <c r="B7" s="57">
        <v>4560</v>
      </c>
      <c r="C7" s="57">
        <v>2320</v>
      </c>
      <c r="D7" s="57">
        <v>3220</v>
      </c>
      <c r="E7" s="57">
        <v>2320</v>
      </c>
      <c r="F7" s="18"/>
    </row>
    <row r="8" spans="1:6" ht="15.6" x14ac:dyDescent="0.3">
      <c r="A8" s="56" t="s">
        <v>357</v>
      </c>
      <c r="B8" s="57">
        <v>5600</v>
      </c>
      <c r="C8" s="57">
        <v>6510</v>
      </c>
      <c r="D8" s="57">
        <v>5660</v>
      </c>
      <c r="E8" s="57">
        <v>4500</v>
      </c>
      <c r="F8" s="18"/>
    </row>
    <row r="9" spans="1:6" ht="15.6" x14ac:dyDescent="0.3">
      <c r="A9" s="56" t="s">
        <v>358</v>
      </c>
      <c r="B9" s="57">
        <v>2330</v>
      </c>
      <c r="C9" s="57">
        <v>4520</v>
      </c>
      <c r="D9" s="57">
        <v>5500</v>
      </c>
      <c r="E9" s="57">
        <v>4510</v>
      </c>
    </row>
  </sheetData>
  <mergeCells count="2">
    <mergeCell ref="A1:E1"/>
    <mergeCell ref="A2:E2"/>
  </mergeCells>
  <pageMargins left="0.75" right="0.75" top="1" bottom="1" header="0.5" footer="0.5"/>
  <pageSetup orientation="portrait" horizontalDpi="1200" verticalDpi="1200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7B2E3-0CD2-44EA-B0D2-FC1114486179}">
  <sheetPr>
    <tabColor theme="9" tint="0.39997558519241921"/>
  </sheetPr>
  <dimension ref="A1:G34"/>
  <sheetViews>
    <sheetView zoomScale="110" zoomScaleNormal="110" workbookViewId="0">
      <selection activeCell="D7" sqref="D7"/>
    </sheetView>
  </sheetViews>
  <sheetFormatPr defaultColWidth="7.1640625" defaultRowHeight="14.4" x14ac:dyDescent="0.3"/>
  <cols>
    <col min="1" max="1" width="15.4140625" style="2" customWidth="1"/>
    <col min="2" max="2" width="9.1640625" style="20" customWidth="1"/>
    <col min="3" max="3" width="8.9140625" style="21" customWidth="1"/>
    <col min="4" max="4" width="9.9140625" style="21" customWidth="1"/>
    <col min="5" max="5" width="9" style="21" bestFit="1" customWidth="1"/>
    <col min="6" max="6" width="9.9140625" style="21" bestFit="1" customWidth="1"/>
    <col min="7" max="7" width="10.08203125" style="21" customWidth="1"/>
    <col min="8" max="8" width="7.1640625" style="2"/>
    <col min="9" max="9" width="21.75" style="2" customWidth="1"/>
    <col min="10" max="16384" width="7.1640625" style="2"/>
  </cols>
  <sheetData>
    <row r="1" spans="1:7" x14ac:dyDescent="0.3">
      <c r="A1" s="19" t="s">
        <v>353</v>
      </c>
      <c r="B1" s="20" t="s">
        <v>359</v>
      </c>
      <c r="C1" s="20" t="s">
        <v>360</v>
      </c>
      <c r="D1" s="20" t="s">
        <v>361</v>
      </c>
      <c r="E1" s="20" t="s">
        <v>362</v>
      </c>
      <c r="F1" s="20" t="s">
        <v>363</v>
      </c>
      <c r="G1" s="20" t="s">
        <v>364</v>
      </c>
    </row>
    <row r="2" spans="1:7" x14ac:dyDescent="0.3">
      <c r="A2" s="2" t="s">
        <v>365</v>
      </c>
      <c r="B2" s="20">
        <v>3947</v>
      </c>
      <c r="C2" s="21">
        <v>557</v>
      </c>
      <c r="D2" s="21">
        <v>3863</v>
      </c>
      <c r="E2" s="21">
        <v>1117</v>
      </c>
      <c r="F2" s="21">
        <v>8237</v>
      </c>
      <c r="G2" s="21">
        <v>8690</v>
      </c>
    </row>
    <row r="3" spans="1:7" x14ac:dyDescent="0.3">
      <c r="A3" s="19" t="s">
        <v>366</v>
      </c>
      <c r="B3" s="20">
        <v>4411</v>
      </c>
      <c r="C3" s="21">
        <v>1042</v>
      </c>
      <c r="D3" s="21">
        <v>9355</v>
      </c>
      <c r="E3" s="21">
        <v>1100</v>
      </c>
      <c r="F3" s="21">
        <v>10185</v>
      </c>
      <c r="G3" s="21">
        <v>18749</v>
      </c>
    </row>
    <row r="4" spans="1:7" x14ac:dyDescent="0.3">
      <c r="A4" s="19" t="s">
        <v>367</v>
      </c>
      <c r="B4" s="20">
        <v>2521</v>
      </c>
      <c r="C4" s="21">
        <v>3072</v>
      </c>
      <c r="D4" s="21">
        <v>6702</v>
      </c>
      <c r="E4" s="21">
        <v>2116</v>
      </c>
      <c r="F4" s="21">
        <v>13452</v>
      </c>
      <c r="G4" s="21">
        <v>8046</v>
      </c>
    </row>
    <row r="5" spans="1:7" x14ac:dyDescent="0.3">
      <c r="A5" s="19" t="s">
        <v>368</v>
      </c>
      <c r="B5" s="20">
        <v>4752</v>
      </c>
      <c r="C5" s="21">
        <v>3755</v>
      </c>
      <c r="D5" s="21">
        <v>4415</v>
      </c>
      <c r="E5" s="21">
        <v>1089</v>
      </c>
      <c r="F5" s="21">
        <v>4404</v>
      </c>
      <c r="G5" s="21">
        <v>20114</v>
      </c>
    </row>
    <row r="6" spans="1:7" x14ac:dyDescent="0.3">
      <c r="A6" s="2" t="s">
        <v>369</v>
      </c>
      <c r="B6" s="20">
        <v>4964</v>
      </c>
      <c r="C6" s="21">
        <v>3152</v>
      </c>
      <c r="D6" s="21">
        <v>11601</v>
      </c>
      <c r="E6" s="21">
        <v>1122</v>
      </c>
      <c r="F6" s="21">
        <v>3170</v>
      </c>
      <c r="G6" s="21">
        <v>10733</v>
      </c>
    </row>
    <row r="7" spans="1:7" x14ac:dyDescent="0.3">
      <c r="A7" s="19" t="s">
        <v>370</v>
      </c>
      <c r="B7" s="20">
        <v>2327</v>
      </c>
      <c r="C7" s="21">
        <v>4056</v>
      </c>
      <c r="D7" s="21">
        <v>3726</v>
      </c>
      <c r="E7" s="21">
        <v>1135</v>
      </c>
      <c r="F7" s="21">
        <v>8817</v>
      </c>
      <c r="G7" s="21">
        <v>18524</v>
      </c>
    </row>
    <row r="8" spans="1:7" x14ac:dyDescent="0.3">
      <c r="A8" s="19" t="s">
        <v>371</v>
      </c>
      <c r="B8" s="20">
        <v>3967</v>
      </c>
      <c r="C8" s="21">
        <v>4906</v>
      </c>
      <c r="D8" s="21">
        <v>9007</v>
      </c>
      <c r="E8" s="21">
        <v>2113</v>
      </c>
      <c r="F8" s="21">
        <v>13090</v>
      </c>
      <c r="G8" s="21">
        <v>13953</v>
      </c>
    </row>
    <row r="9" spans="1:7" x14ac:dyDescent="0.3">
      <c r="A9" s="19" t="s">
        <v>372</v>
      </c>
      <c r="B9" s="20">
        <v>4670</v>
      </c>
      <c r="C9" s="21">
        <v>521</v>
      </c>
      <c r="D9" s="21">
        <v>4505</v>
      </c>
      <c r="E9" s="21">
        <v>1024</v>
      </c>
      <c r="F9" s="21">
        <v>3528</v>
      </c>
      <c r="G9" s="21">
        <v>15275</v>
      </c>
    </row>
    <row r="10" spans="1:7" x14ac:dyDescent="0.3">
      <c r="A10" s="19" t="s">
        <v>373</v>
      </c>
      <c r="B10" s="20">
        <v>3379</v>
      </c>
      <c r="C10" s="21">
        <v>3428</v>
      </c>
      <c r="D10" s="21">
        <v>3973</v>
      </c>
      <c r="E10" s="21">
        <v>1716</v>
      </c>
      <c r="F10" s="21">
        <v>4839</v>
      </c>
      <c r="G10" s="21">
        <v>13085</v>
      </c>
    </row>
    <row r="11" spans="1:7" x14ac:dyDescent="0.3">
      <c r="A11" s="2" t="s">
        <v>374</v>
      </c>
      <c r="B11" s="20">
        <v>5363</v>
      </c>
      <c r="C11" s="21">
        <v>1562</v>
      </c>
      <c r="D11" s="21">
        <v>2945</v>
      </c>
      <c r="E11" s="21">
        <v>1176</v>
      </c>
      <c r="F11" s="21">
        <v>9642</v>
      </c>
      <c r="G11" s="21">
        <v>13714</v>
      </c>
    </row>
    <row r="12" spans="1:7" x14ac:dyDescent="0.3">
      <c r="A12" s="2" t="s">
        <v>375</v>
      </c>
      <c r="B12" s="20">
        <v>3275</v>
      </c>
      <c r="C12" s="21">
        <v>2779</v>
      </c>
      <c r="D12" s="21">
        <v>7549</v>
      </c>
      <c r="E12" s="21">
        <v>1101</v>
      </c>
      <c r="F12" s="21">
        <v>5850</v>
      </c>
      <c r="G12" s="21">
        <v>15065</v>
      </c>
    </row>
    <row r="13" spans="1:7" x14ac:dyDescent="0.3">
      <c r="A13" s="19" t="s">
        <v>376</v>
      </c>
      <c r="B13" s="20">
        <v>3860</v>
      </c>
      <c r="C13" s="21">
        <v>3470</v>
      </c>
      <c r="D13" s="21">
        <v>3862</v>
      </c>
      <c r="E13" s="21">
        <v>1040</v>
      </c>
      <c r="F13" s="21">
        <v>10024</v>
      </c>
      <c r="G13" s="21">
        <v>18389</v>
      </c>
    </row>
    <row r="14" spans="1:7" x14ac:dyDescent="0.3">
      <c r="A14" s="19" t="s">
        <v>377</v>
      </c>
      <c r="B14" s="20">
        <v>4685</v>
      </c>
      <c r="C14" s="21">
        <v>1913</v>
      </c>
      <c r="D14" s="21">
        <v>4596</v>
      </c>
      <c r="E14" s="21">
        <v>1126</v>
      </c>
      <c r="F14" s="21">
        <v>5503</v>
      </c>
      <c r="G14" s="21">
        <v>10686</v>
      </c>
    </row>
    <row r="15" spans="1:7" x14ac:dyDescent="0.3">
      <c r="A15" s="2" t="s">
        <v>378</v>
      </c>
      <c r="B15" s="20">
        <v>4052</v>
      </c>
      <c r="C15" s="21">
        <v>2883</v>
      </c>
      <c r="D15" s="21">
        <v>2142</v>
      </c>
      <c r="E15" s="21">
        <v>2012</v>
      </c>
      <c r="F15" s="21">
        <v>13547</v>
      </c>
      <c r="G15" s="21">
        <v>21983</v>
      </c>
    </row>
    <row r="16" spans="1:7" x14ac:dyDescent="0.3">
      <c r="A16" s="19" t="s">
        <v>379</v>
      </c>
      <c r="B16" s="20">
        <v>5541</v>
      </c>
      <c r="C16" s="21">
        <v>4931</v>
      </c>
      <c r="D16" s="21">
        <v>8283</v>
      </c>
      <c r="E16" s="21">
        <v>1054</v>
      </c>
      <c r="F16" s="21">
        <v>9543</v>
      </c>
      <c r="G16" s="21">
        <v>11967</v>
      </c>
    </row>
    <row r="17" spans="1:7" x14ac:dyDescent="0.3">
      <c r="A17" s="19" t="s">
        <v>380</v>
      </c>
      <c r="B17" s="20">
        <v>5667</v>
      </c>
      <c r="C17" s="21">
        <v>4798</v>
      </c>
      <c r="D17" s="21">
        <v>8420</v>
      </c>
      <c r="E17" s="21">
        <v>1389</v>
      </c>
      <c r="F17" s="21">
        <v>10468</v>
      </c>
      <c r="G17" s="21">
        <v>12677</v>
      </c>
    </row>
    <row r="18" spans="1:7" x14ac:dyDescent="0.3">
      <c r="A18" s="19" t="s">
        <v>381</v>
      </c>
      <c r="B18" s="20">
        <v>4269</v>
      </c>
      <c r="C18" s="21">
        <v>4459</v>
      </c>
      <c r="D18" s="21">
        <v>2248</v>
      </c>
      <c r="E18" s="21">
        <v>1058</v>
      </c>
      <c r="F18" s="21">
        <v>6267</v>
      </c>
      <c r="G18" s="21">
        <v>14982</v>
      </c>
    </row>
    <row r="19" spans="1:7" x14ac:dyDescent="0.3">
      <c r="A19" s="19" t="s">
        <v>382</v>
      </c>
      <c r="B19" s="20">
        <v>3502</v>
      </c>
      <c r="C19" s="21">
        <v>4172</v>
      </c>
      <c r="D19" s="21">
        <v>11074</v>
      </c>
      <c r="E19" s="21">
        <v>1282</v>
      </c>
      <c r="F19" s="21">
        <v>2365</v>
      </c>
      <c r="G19" s="21">
        <v>9380</v>
      </c>
    </row>
    <row r="20" spans="1:7" x14ac:dyDescent="0.3">
      <c r="A20" s="19" t="s">
        <v>383</v>
      </c>
      <c r="B20" s="20">
        <v>5853</v>
      </c>
      <c r="C20" s="21">
        <v>2011</v>
      </c>
      <c r="D20" s="21">
        <v>3807</v>
      </c>
      <c r="E20" s="21">
        <v>1348</v>
      </c>
      <c r="F20" s="21">
        <v>11110</v>
      </c>
      <c r="G20" s="21">
        <v>18047</v>
      </c>
    </row>
    <row r="21" spans="1:7" x14ac:dyDescent="0.3">
      <c r="A21" s="19" t="s">
        <v>384</v>
      </c>
      <c r="B21" s="20">
        <v>2586</v>
      </c>
      <c r="C21" s="21">
        <v>2398</v>
      </c>
      <c r="D21" s="21">
        <v>2453</v>
      </c>
      <c r="E21" s="21">
        <v>1020</v>
      </c>
      <c r="F21" s="21">
        <v>4612</v>
      </c>
      <c r="G21" s="21">
        <v>20525</v>
      </c>
    </row>
    <row r="22" spans="1:7" x14ac:dyDescent="0.3">
      <c r="A22" s="19" t="s">
        <v>385</v>
      </c>
      <c r="B22" s="20">
        <v>5714</v>
      </c>
      <c r="C22" s="21">
        <v>4960</v>
      </c>
      <c r="D22" s="21">
        <v>11507</v>
      </c>
      <c r="E22" s="21">
        <v>1010</v>
      </c>
      <c r="F22" s="21">
        <v>6599</v>
      </c>
      <c r="G22" s="21">
        <v>11626</v>
      </c>
    </row>
    <row r="23" spans="1:7" x14ac:dyDescent="0.3">
      <c r="A23" s="19" t="s">
        <v>386</v>
      </c>
      <c r="B23" s="20">
        <v>5347</v>
      </c>
      <c r="C23" s="21">
        <v>4060</v>
      </c>
      <c r="D23" s="21">
        <v>7056</v>
      </c>
      <c r="E23" s="21">
        <v>1555</v>
      </c>
      <c r="F23" s="21">
        <v>5439</v>
      </c>
      <c r="G23" s="21">
        <v>15285</v>
      </c>
    </row>
    <row r="24" spans="1:7" x14ac:dyDescent="0.3">
      <c r="A24" s="2" t="s">
        <v>387</v>
      </c>
      <c r="B24" s="20">
        <v>4222</v>
      </c>
      <c r="C24" s="21">
        <v>3317</v>
      </c>
      <c r="D24" s="21">
        <v>5849</v>
      </c>
      <c r="E24" s="21">
        <v>2081</v>
      </c>
      <c r="F24" s="21">
        <v>10521</v>
      </c>
      <c r="G24" s="21">
        <v>18979</v>
      </c>
    </row>
    <row r="25" spans="1:7" x14ac:dyDescent="0.3">
      <c r="A25" s="19" t="s">
        <v>388</v>
      </c>
      <c r="B25" s="20">
        <v>5929</v>
      </c>
      <c r="C25" s="21">
        <v>3127</v>
      </c>
      <c r="D25" s="21">
        <v>7971</v>
      </c>
      <c r="E25" s="21">
        <v>1114</v>
      </c>
      <c r="F25" s="21">
        <v>2686</v>
      </c>
      <c r="G25" s="21">
        <v>24099</v>
      </c>
    </row>
    <row r="26" spans="1:7" x14ac:dyDescent="0.3">
      <c r="A26" s="19" t="s">
        <v>389</v>
      </c>
      <c r="B26" s="20">
        <v>4270</v>
      </c>
      <c r="C26" s="21">
        <v>4263</v>
      </c>
      <c r="D26" s="21">
        <v>4999</v>
      </c>
      <c r="E26" s="21">
        <v>1052</v>
      </c>
      <c r="F26" s="21">
        <v>2399</v>
      </c>
      <c r="G26" s="21">
        <v>8924</v>
      </c>
    </row>
    <row r="27" spans="1:7" x14ac:dyDescent="0.3">
      <c r="A27" s="19" t="s">
        <v>390</v>
      </c>
      <c r="B27" s="20">
        <v>5421</v>
      </c>
      <c r="C27" s="21">
        <v>4728</v>
      </c>
      <c r="D27" s="21">
        <v>7158</v>
      </c>
      <c r="E27" s="21">
        <v>1116</v>
      </c>
      <c r="F27" s="21">
        <v>4276</v>
      </c>
      <c r="G27" s="21">
        <v>13907</v>
      </c>
    </row>
    <row r="28" spans="1:7" x14ac:dyDescent="0.3">
      <c r="A28" s="19" t="s">
        <v>391</v>
      </c>
      <c r="B28" s="20">
        <v>3259</v>
      </c>
      <c r="C28" s="21">
        <v>3679</v>
      </c>
      <c r="D28" s="21">
        <v>8406</v>
      </c>
      <c r="E28" s="21">
        <v>2123</v>
      </c>
      <c r="F28" s="21">
        <v>14697</v>
      </c>
      <c r="G28" s="21">
        <v>16827</v>
      </c>
    </row>
    <row r="29" spans="1:7" x14ac:dyDescent="0.3">
      <c r="A29" s="2" t="s">
        <v>392</v>
      </c>
      <c r="B29" s="20">
        <v>2943</v>
      </c>
      <c r="C29" s="21">
        <v>3943</v>
      </c>
      <c r="D29" s="21">
        <v>11987</v>
      </c>
      <c r="E29" s="21">
        <v>1183</v>
      </c>
      <c r="F29" s="21">
        <v>3071</v>
      </c>
      <c r="G29" s="21">
        <v>11292</v>
      </c>
    </row>
    <row r="30" spans="1:7" x14ac:dyDescent="0.3">
      <c r="A30" s="2" t="s">
        <v>393</v>
      </c>
      <c r="B30" s="20">
        <v>5529</v>
      </c>
      <c r="C30" s="21">
        <v>4925</v>
      </c>
      <c r="D30" s="21">
        <v>3122</v>
      </c>
      <c r="E30" s="21">
        <v>1629</v>
      </c>
      <c r="F30" s="21">
        <v>14684</v>
      </c>
      <c r="G30" s="21">
        <v>20871</v>
      </c>
    </row>
    <row r="31" spans="1:7" x14ac:dyDescent="0.3">
      <c r="A31" s="19" t="s">
        <v>394</v>
      </c>
      <c r="B31" s="20">
        <v>2380</v>
      </c>
      <c r="C31" s="21">
        <v>3247</v>
      </c>
      <c r="D31" s="21">
        <v>11956</v>
      </c>
      <c r="E31" s="21">
        <v>1156</v>
      </c>
      <c r="F31" s="21">
        <v>3098</v>
      </c>
      <c r="G31" s="21">
        <v>8531</v>
      </c>
    </row>
    <row r="34" spans="1:1" x14ac:dyDescent="0.3">
      <c r="A34" s="22"/>
    </row>
  </sheetData>
  <pageMargins left="0.7" right="0.7" top="0.75" bottom="0.75" header="0.3" footer="0.3"/>
  <pageSetup orientation="landscape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258F7-23DD-4D32-8661-2A31B20C9A88}">
  <sheetPr>
    <tabColor theme="0"/>
  </sheetPr>
  <dimension ref="B19:C20"/>
  <sheetViews>
    <sheetView showGridLines="0" workbookViewId="0">
      <selection activeCell="I26" sqref="I26"/>
    </sheetView>
  </sheetViews>
  <sheetFormatPr defaultColWidth="7.1640625" defaultRowHeight="14.4" x14ac:dyDescent="0.3"/>
  <cols>
    <col min="1" max="16384" width="7.1640625" style="2"/>
  </cols>
  <sheetData>
    <row r="19" spans="2:3" x14ac:dyDescent="0.3">
      <c r="B19" s="22"/>
    </row>
    <row r="20" spans="2:3" x14ac:dyDescent="0.3">
      <c r="B20" s="22"/>
      <c r="C20" s="23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CC32B-A925-4623-807A-F94832090A02}">
  <sheetPr>
    <tabColor rgb="FFFF0000"/>
  </sheetPr>
  <dimension ref="A1:V68"/>
  <sheetViews>
    <sheetView zoomScale="110" zoomScaleNormal="110" workbookViewId="0">
      <selection activeCell="F10" sqref="F10"/>
    </sheetView>
  </sheetViews>
  <sheetFormatPr defaultColWidth="7.1640625" defaultRowHeight="14.4" x14ac:dyDescent="0.3"/>
  <cols>
    <col min="1" max="1" width="9.5" style="2" bestFit="1" customWidth="1"/>
    <col min="2" max="2" width="11.1640625" style="2" bestFit="1" customWidth="1"/>
    <col min="3" max="3" width="12" style="2" bestFit="1" customWidth="1"/>
    <col min="4" max="4" width="14.4140625" style="2" bestFit="1" customWidth="1"/>
    <col min="5" max="5" width="10.5" style="2" bestFit="1" customWidth="1"/>
    <col min="6" max="6" width="9.08203125" style="2" bestFit="1" customWidth="1"/>
    <col min="7" max="7" width="7.33203125" style="2" bestFit="1" customWidth="1"/>
    <col min="8" max="8" width="14.1640625" style="2" bestFit="1" customWidth="1"/>
    <col min="9" max="9" width="11.75" style="2" bestFit="1" customWidth="1"/>
    <col min="10" max="10" width="8.5" style="2" bestFit="1" customWidth="1"/>
    <col min="11" max="11" width="12.6640625" style="2" bestFit="1" customWidth="1"/>
    <col min="12" max="12" width="13.9140625" style="2" bestFit="1" customWidth="1"/>
    <col min="13" max="13" width="15.08203125" style="2" bestFit="1" customWidth="1"/>
    <col min="14" max="14" width="9.6640625" style="2" bestFit="1" customWidth="1"/>
    <col min="15" max="15" width="10.5" style="2" bestFit="1" customWidth="1"/>
    <col min="16" max="16" width="17.4140625" style="2" bestFit="1" customWidth="1"/>
    <col min="17" max="17" width="15.08203125" style="2" bestFit="1" customWidth="1"/>
    <col min="18" max="18" width="14.75" style="2" bestFit="1" customWidth="1"/>
    <col min="19" max="19" width="10.25" style="2" bestFit="1" customWidth="1"/>
    <col min="20" max="21" width="9.6640625" style="2" bestFit="1" customWidth="1"/>
    <col min="22" max="22" width="12.25" style="2" bestFit="1" customWidth="1"/>
    <col min="23" max="23" width="9.9140625" style="2" bestFit="1" customWidth="1"/>
    <col min="24" max="16384" width="7.1640625" style="2"/>
  </cols>
  <sheetData>
    <row r="1" spans="1:22" ht="18" x14ac:dyDescent="0.35">
      <c r="A1" s="89" t="s">
        <v>395</v>
      </c>
      <c r="B1" s="89"/>
      <c r="C1" s="89"/>
      <c r="D1" s="89"/>
    </row>
    <row r="3" spans="1:22" x14ac:dyDescent="0.3">
      <c r="A3" s="66" t="s">
        <v>396</v>
      </c>
      <c r="B3" s="66" t="s">
        <v>397</v>
      </c>
      <c r="C3" s="66" t="s">
        <v>398</v>
      </c>
      <c r="D3" s="66" t="s">
        <v>319</v>
      </c>
      <c r="E3" s="66" t="s">
        <v>399</v>
      </c>
      <c r="F3" s="66" t="s">
        <v>400</v>
      </c>
      <c r="G3" s="66" t="s">
        <v>401</v>
      </c>
      <c r="H3" s="66" t="s">
        <v>402</v>
      </c>
      <c r="I3" s="66" t="s">
        <v>353</v>
      </c>
      <c r="J3" s="66" t="s">
        <v>335</v>
      </c>
      <c r="K3" s="66" t="s">
        <v>403</v>
      </c>
      <c r="L3" s="66" t="s">
        <v>404</v>
      </c>
      <c r="M3" s="66" t="s">
        <v>405</v>
      </c>
      <c r="N3" s="66" t="s">
        <v>406</v>
      </c>
      <c r="O3" s="66" t="s">
        <v>407</v>
      </c>
      <c r="P3" s="66" t="s">
        <v>408</v>
      </c>
      <c r="Q3" s="66" t="s">
        <v>409</v>
      </c>
      <c r="R3" s="66" t="s">
        <v>293</v>
      </c>
      <c r="S3" s="66" t="s">
        <v>410</v>
      </c>
      <c r="T3" s="66" t="s">
        <v>411</v>
      </c>
      <c r="U3" s="66" t="s">
        <v>412</v>
      </c>
      <c r="V3" s="66" t="s">
        <v>413</v>
      </c>
    </row>
    <row r="4" spans="1:22" ht="15.6" x14ac:dyDescent="0.3">
      <c r="A4" s="67">
        <v>1368</v>
      </c>
      <c r="B4" s="68">
        <v>45287</v>
      </c>
      <c r="C4" s="67">
        <v>27</v>
      </c>
      <c r="D4" s="67" t="s">
        <v>414</v>
      </c>
      <c r="E4" s="67" t="s">
        <v>415</v>
      </c>
      <c r="F4" s="67" t="s">
        <v>416</v>
      </c>
      <c r="G4" s="67" t="s">
        <v>417</v>
      </c>
      <c r="H4" s="67" t="s">
        <v>418</v>
      </c>
      <c r="I4" s="67" t="s">
        <v>419</v>
      </c>
      <c r="J4" s="67" t="s">
        <v>318</v>
      </c>
      <c r="K4" s="68">
        <f t="shared" ref="K4:K35" si="0">B4+2</f>
        <v>45289</v>
      </c>
      <c r="L4" s="67" t="s">
        <v>420</v>
      </c>
      <c r="M4" s="67" t="s">
        <v>421</v>
      </c>
      <c r="N4" s="67" t="s">
        <v>416</v>
      </c>
      <c r="O4" s="67" t="s">
        <v>417</v>
      </c>
      <c r="P4" s="67" t="s">
        <v>418</v>
      </c>
      <c r="Q4" s="67" t="s">
        <v>422</v>
      </c>
      <c r="R4" s="67" t="s">
        <v>423</v>
      </c>
      <c r="S4" s="69">
        <v>14</v>
      </c>
      <c r="T4" s="67">
        <v>19</v>
      </c>
      <c r="U4" s="69">
        <f t="shared" ref="U4:U35" si="1">S4*T4</f>
        <v>266</v>
      </c>
      <c r="V4" s="70">
        <v>25.802</v>
      </c>
    </row>
    <row r="5" spans="1:22" ht="15.6" x14ac:dyDescent="0.3">
      <c r="A5" s="67">
        <v>1369</v>
      </c>
      <c r="B5" s="68">
        <v>45287</v>
      </c>
      <c r="C5" s="67">
        <v>27</v>
      </c>
      <c r="D5" s="67" t="s">
        <v>414</v>
      </c>
      <c r="E5" s="67" t="s">
        <v>415</v>
      </c>
      <c r="F5" s="67" t="s">
        <v>416</v>
      </c>
      <c r="G5" s="67" t="s">
        <v>417</v>
      </c>
      <c r="H5" s="67" t="s">
        <v>418</v>
      </c>
      <c r="I5" s="67" t="s">
        <v>419</v>
      </c>
      <c r="J5" s="67" t="s">
        <v>318</v>
      </c>
      <c r="K5" s="68">
        <f t="shared" si="0"/>
        <v>45289</v>
      </c>
      <c r="L5" s="67" t="s">
        <v>420</v>
      </c>
      <c r="M5" s="67" t="s">
        <v>421</v>
      </c>
      <c r="N5" s="67" t="s">
        <v>416</v>
      </c>
      <c r="O5" s="67" t="s">
        <v>417</v>
      </c>
      <c r="P5" s="67" t="s">
        <v>418</v>
      </c>
      <c r="Q5" s="67" t="s">
        <v>424</v>
      </c>
      <c r="R5" s="67" t="s">
        <v>425</v>
      </c>
      <c r="S5" s="69">
        <v>3.5</v>
      </c>
      <c r="T5" s="67">
        <v>60</v>
      </c>
      <c r="U5" s="69">
        <f t="shared" si="1"/>
        <v>210</v>
      </c>
      <c r="V5" s="70">
        <v>20.16</v>
      </c>
    </row>
    <row r="6" spans="1:22" ht="15.6" x14ac:dyDescent="0.3">
      <c r="A6" s="67">
        <v>1370</v>
      </c>
      <c r="B6" s="68">
        <v>45264</v>
      </c>
      <c r="C6" s="67">
        <v>4</v>
      </c>
      <c r="D6" s="67" t="s">
        <v>426</v>
      </c>
      <c r="E6" s="67" t="s">
        <v>427</v>
      </c>
      <c r="F6" s="67" t="s">
        <v>428</v>
      </c>
      <c r="G6" s="67" t="s">
        <v>429</v>
      </c>
      <c r="H6" s="67" t="s">
        <v>418</v>
      </c>
      <c r="I6" s="67" t="s">
        <v>430</v>
      </c>
      <c r="J6" s="67" t="s">
        <v>298</v>
      </c>
      <c r="K6" s="68">
        <f t="shared" si="0"/>
        <v>45266</v>
      </c>
      <c r="L6" s="67" t="s">
        <v>431</v>
      </c>
      <c r="M6" s="67" t="s">
        <v>432</v>
      </c>
      <c r="N6" s="67" t="s">
        <v>428</v>
      </c>
      <c r="O6" s="67" t="s">
        <v>429</v>
      </c>
      <c r="P6" s="67" t="s">
        <v>418</v>
      </c>
      <c r="Q6" s="67" t="s">
        <v>433</v>
      </c>
      <c r="R6" s="67" t="s">
        <v>425</v>
      </c>
      <c r="S6" s="69">
        <v>30</v>
      </c>
      <c r="T6" s="67">
        <v>81</v>
      </c>
      <c r="U6" s="69">
        <f t="shared" si="1"/>
        <v>2430</v>
      </c>
      <c r="V6" s="70">
        <v>255.15</v>
      </c>
    </row>
    <row r="7" spans="1:22" ht="15.6" x14ac:dyDescent="0.3">
      <c r="A7" s="67">
        <v>1371</v>
      </c>
      <c r="B7" s="68">
        <v>45264</v>
      </c>
      <c r="C7" s="67">
        <v>4</v>
      </c>
      <c r="D7" s="67" t="s">
        <v>426</v>
      </c>
      <c r="E7" s="67" t="s">
        <v>427</v>
      </c>
      <c r="F7" s="67" t="s">
        <v>428</v>
      </c>
      <c r="G7" s="67" t="s">
        <v>429</v>
      </c>
      <c r="H7" s="67" t="s">
        <v>418</v>
      </c>
      <c r="I7" s="67" t="s">
        <v>430</v>
      </c>
      <c r="J7" s="67" t="s">
        <v>298</v>
      </c>
      <c r="K7" s="68">
        <f t="shared" si="0"/>
        <v>45266</v>
      </c>
      <c r="L7" s="67" t="s">
        <v>431</v>
      </c>
      <c r="M7" s="67" t="s">
        <v>432</v>
      </c>
      <c r="N7" s="67" t="s">
        <v>428</v>
      </c>
      <c r="O7" s="67" t="s">
        <v>429</v>
      </c>
      <c r="P7" s="67" t="s">
        <v>418</v>
      </c>
      <c r="Q7" s="67" t="s">
        <v>434</v>
      </c>
      <c r="R7" s="67" t="s">
        <v>425</v>
      </c>
      <c r="S7" s="69">
        <v>53</v>
      </c>
      <c r="T7" s="67">
        <v>83</v>
      </c>
      <c r="U7" s="69">
        <f t="shared" si="1"/>
        <v>4399</v>
      </c>
      <c r="V7" s="70">
        <v>461.89500000000004</v>
      </c>
    </row>
    <row r="8" spans="1:22" ht="15.6" x14ac:dyDescent="0.3">
      <c r="A8" s="67">
        <v>1372</v>
      </c>
      <c r="B8" s="68">
        <v>45264</v>
      </c>
      <c r="C8" s="67">
        <v>4</v>
      </c>
      <c r="D8" s="67" t="s">
        <v>426</v>
      </c>
      <c r="E8" s="67" t="s">
        <v>427</v>
      </c>
      <c r="F8" s="67" t="s">
        <v>428</v>
      </c>
      <c r="G8" s="67" t="s">
        <v>429</v>
      </c>
      <c r="H8" s="67" t="s">
        <v>418</v>
      </c>
      <c r="I8" s="67" t="s">
        <v>430</v>
      </c>
      <c r="J8" s="67" t="s">
        <v>298</v>
      </c>
      <c r="K8" s="68">
        <f t="shared" si="0"/>
        <v>45266</v>
      </c>
      <c r="L8" s="67" t="s">
        <v>431</v>
      </c>
      <c r="M8" s="67" t="s">
        <v>432</v>
      </c>
      <c r="N8" s="67" t="s">
        <v>428</v>
      </c>
      <c r="O8" s="67" t="s">
        <v>429</v>
      </c>
      <c r="P8" s="67" t="s">
        <v>418</v>
      </c>
      <c r="Q8" s="67" t="s">
        <v>424</v>
      </c>
      <c r="R8" s="67" t="s">
        <v>425</v>
      </c>
      <c r="S8" s="69">
        <v>3.5</v>
      </c>
      <c r="T8" s="67">
        <v>75</v>
      </c>
      <c r="U8" s="69">
        <f t="shared" si="1"/>
        <v>262.5</v>
      </c>
      <c r="V8" s="70">
        <v>26.25</v>
      </c>
    </row>
    <row r="9" spans="1:22" ht="15.6" x14ac:dyDescent="0.3">
      <c r="A9" s="67">
        <v>1373</v>
      </c>
      <c r="B9" s="68">
        <v>45272</v>
      </c>
      <c r="C9" s="67">
        <v>12</v>
      </c>
      <c r="D9" s="67" t="s">
        <v>435</v>
      </c>
      <c r="E9" s="67" t="s">
        <v>436</v>
      </c>
      <c r="F9" s="67" t="s">
        <v>416</v>
      </c>
      <c r="G9" s="67" t="s">
        <v>417</v>
      </c>
      <c r="H9" s="67" t="s">
        <v>418</v>
      </c>
      <c r="I9" s="67" t="s">
        <v>419</v>
      </c>
      <c r="J9" s="67" t="s">
        <v>318</v>
      </c>
      <c r="K9" s="68">
        <f t="shared" si="0"/>
        <v>45274</v>
      </c>
      <c r="L9" s="67" t="s">
        <v>420</v>
      </c>
      <c r="M9" s="67" t="s">
        <v>437</v>
      </c>
      <c r="N9" s="67" t="s">
        <v>416</v>
      </c>
      <c r="O9" s="67" t="s">
        <v>417</v>
      </c>
      <c r="P9" s="67" t="s">
        <v>418</v>
      </c>
      <c r="Q9" s="67" t="s">
        <v>438</v>
      </c>
      <c r="R9" s="67" t="s">
        <v>423</v>
      </c>
      <c r="S9" s="69">
        <v>18</v>
      </c>
      <c r="T9" s="67">
        <v>97</v>
      </c>
      <c r="U9" s="69">
        <f t="shared" si="1"/>
        <v>1746</v>
      </c>
      <c r="V9" s="70">
        <v>183.33000000000004</v>
      </c>
    </row>
    <row r="10" spans="1:22" ht="15.6" x14ac:dyDescent="0.3">
      <c r="A10" s="67">
        <v>1374</v>
      </c>
      <c r="B10" s="68">
        <v>45272</v>
      </c>
      <c r="C10" s="67">
        <v>12</v>
      </c>
      <c r="D10" s="67" t="s">
        <v>435</v>
      </c>
      <c r="E10" s="67" t="s">
        <v>436</v>
      </c>
      <c r="F10" s="67" t="s">
        <v>416</v>
      </c>
      <c r="G10" s="67" t="s">
        <v>417</v>
      </c>
      <c r="H10" s="67" t="s">
        <v>418</v>
      </c>
      <c r="I10" s="67" t="s">
        <v>419</v>
      </c>
      <c r="J10" s="67" t="s">
        <v>318</v>
      </c>
      <c r="K10" s="68">
        <f t="shared" si="0"/>
        <v>45274</v>
      </c>
      <c r="L10" s="67" t="s">
        <v>420</v>
      </c>
      <c r="M10" s="67" t="s">
        <v>437</v>
      </c>
      <c r="N10" s="67" t="s">
        <v>416</v>
      </c>
      <c r="O10" s="67" t="s">
        <v>417</v>
      </c>
      <c r="P10" s="67" t="s">
        <v>418</v>
      </c>
      <c r="Q10" s="67" t="s">
        <v>439</v>
      </c>
      <c r="R10" s="67" t="s">
        <v>423</v>
      </c>
      <c r="S10" s="69">
        <v>46</v>
      </c>
      <c r="T10" s="67">
        <v>61</v>
      </c>
      <c r="U10" s="69">
        <f t="shared" si="1"/>
        <v>2806</v>
      </c>
      <c r="V10" s="70">
        <v>291.82400000000001</v>
      </c>
    </row>
    <row r="11" spans="1:22" ht="15.6" x14ac:dyDescent="0.3">
      <c r="A11" s="67">
        <v>1375</v>
      </c>
      <c r="B11" s="68">
        <v>45268</v>
      </c>
      <c r="C11" s="67">
        <v>8</v>
      </c>
      <c r="D11" s="67" t="s">
        <v>440</v>
      </c>
      <c r="E11" s="67" t="s">
        <v>441</v>
      </c>
      <c r="F11" s="67" t="s">
        <v>442</v>
      </c>
      <c r="G11" s="67" t="s">
        <v>443</v>
      </c>
      <c r="H11" s="67" t="s">
        <v>418</v>
      </c>
      <c r="I11" s="67" t="s">
        <v>444</v>
      </c>
      <c r="J11" s="67" t="s">
        <v>314</v>
      </c>
      <c r="K11" s="68">
        <f t="shared" si="0"/>
        <v>45270</v>
      </c>
      <c r="L11" s="67" t="s">
        <v>445</v>
      </c>
      <c r="M11" s="67" t="s">
        <v>446</v>
      </c>
      <c r="N11" s="67" t="s">
        <v>442</v>
      </c>
      <c r="O11" s="67" t="s">
        <v>443</v>
      </c>
      <c r="P11" s="67" t="s">
        <v>418</v>
      </c>
      <c r="Q11" s="67" t="s">
        <v>447</v>
      </c>
      <c r="R11" s="67" t="s">
        <v>448</v>
      </c>
      <c r="S11" s="69">
        <v>9.1999999999999993</v>
      </c>
      <c r="T11" s="67">
        <v>28</v>
      </c>
      <c r="U11" s="69">
        <f t="shared" si="1"/>
        <v>257.59999999999997</v>
      </c>
      <c r="V11" s="70">
        <v>24.471999999999998</v>
      </c>
    </row>
    <row r="12" spans="1:22" ht="15.6" x14ac:dyDescent="0.3">
      <c r="A12" s="67">
        <v>1376</v>
      </c>
      <c r="B12" s="68">
        <v>45264</v>
      </c>
      <c r="C12" s="67">
        <v>4</v>
      </c>
      <c r="D12" s="67" t="s">
        <v>426</v>
      </c>
      <c r="E12" s="67" t="s">
        <v>427</v>
      </c>
      <c r="F12" s="67" t="s">
        <v>428</v>
      </c>
      <c r="G12" s="67" t="s">
        <v>429</v>
      </c>
      <c r="H12" s="67" t="s">
        <v>418</v>
      </c>
      <c r="I12" s="67" t="s">
        <v>430</v>
      </c>
      <c r="J12" s="67" t="s">
        <v>298</v>
      </c>
      <c r="K12" s="68">
        <f t="shared" si="0"/>
        <v>45266</v>
      </c>
      <c r="L12" s="67" t="s">
        <v>445</v>
      </c>
      <c r="M12" s="67" t="s">
        <v>432</v>
      </c>
      <c r="N12" s="67" t="s">
        <v>428</v>
      </c>
      <c r="O12" s="67" t="s">
        <v>429</v>
      </c>
      <c r="P12" s="67" t="s">
        <v>418</v>
      </c>
      <c r="Q12" s="67" t="s">
        <v>447</v>
      </c>
      <c r="R12" s="67" t="s">
        <v>448</v>
      </c>
      <c r="S12" s="69">
        <v>9.1999999999999993</v>
      </c>
      <c r="T12" s="67">
        <v>97</v>
      </c>
      <c r="U12" s="69">
        <f t="shared" si="1"/>
        <v>892.4</v>
      </c>
      <c r="V12" s="70">
        <v>93.702000000000012</v>
      </c>
    </row>
    <row r="13" spans="1:22" ht="15.6" x14ac:dyDescent="0.3">
      <c r="A13" s="67">
        <v>1377</v>
      </c>
      <c r="B13" s="68">
        <v>45289</v>
      </c>
      <c r="C13" s="67">
        <v>29</v>
      </c>
      <c r="D13" s="67" t="s">
        <v>449</v>
      </c>
      <c r="E13" s="67" t="s">
        <v>450</v>
      </c>
      <c r="F13" s="67" t="s">
        <v>451</v>
      </c>
      <c r="G13" s="67" t="s">
        <v>452</v>
      </c>
      <c r="H13" s="67" t="s">
        <v>418</v>
      </c>
      <c r="I13" s="67" t="s">
        <v>453</v>
      </c>
      <c r="J13" s="67" t="s">
        <v>318</v>
      </c>
      <c r="K13" s="68">
        <f t="shared" si="0"/>
        <v>45291</v>
      </c>
      <c r="L13" s="67" t="s">
        <v>420</v>
      </c>
      <c r="M13" s="67" t="s">
        <v>454</v>
      </c>
      <c r="N13" s="67" t="s">
        <v>451</v>
      </c>
      <c r="O13" s="67" t="s">
        <v>452</v>
      </c>
      <c r="P13" s="67" t="s">
        <v>418</v>
      </c>
      <c r="Q13" s="67" t="s">
        <v>455</v>
      </c>
      <c r="R13" s="67" t="s">
        <v>456</v>
      </c>
      <c r="S13" s="69">
        <v>12.75</v>
      </c>
      <c r="T13" s="67">
        <v>23</v>
      </c>
      <c r="U13" s="69">
        <f t="shared" si="1"/>
        <v>293.25</v>
      </c>
      <c r="V13" s="70">
        <v>29.325000000000003</v>
      </c>
    </row>
    <row r="14" spans="1:22" ht="15.6" x14ac:dyDescent="0.3">
      <c r="A14" s="67">
        <v>1378</v>
      </c>
      <c r="B14" s="68">
        <v>45263</v>
      </c>
      <c r="C14" s="67">
        <v>3</v>
      </c>
      <c r="D14" s="67" t="s">
        <v>457</v>
      </c>
      <c r="E14" s="67" t="s">
        <v>458</v>
      </c>
      <c r="F14" s="67" t="s">
        <v>459</v>
      </c>
      <c r="G14" s="67" t="s">
        <v>460</v>
      </c>
      <c r="H14" s="67" t="s">
        <v>418</v>
      </c>
      <c r="I14" s="67" t="s">
        <v>419</v>
      </c>
      <c r="J14" s="67" t="s">
        <v>318</v>
      </c>
      <c r="K14" s="68">
        <f t="shared" si="0"/>
        <v>45265</v>
      </c>
      <c r="L14" s="67" t="s">
        <v>420</v>
      </c>
      <c r="M14" s="67" t="s">
        <v>461</v>
      </c>
      <c r="N14" s="67" t="s">
        <v>459</v>
      </c>
      <c r="O14" s="67" t="s">
        <v>460</v>
      </c>
      <c r="P14" s="67" t="s">
        <v>418</v>
      </c>
      <c r="Q14" s="67" t="s">
        <v>462</v>
      </c>
      <c r="R14" s="67" t="s">
        <v>463</v>
      </c>
      <c r="S14" s="69">
        <v>9.65</v>
      </c>
      <c r="T14" s="67">
        <v>89</v>
      </c>
      <c r="U14" s="69">
        <f t="shared" si="1"/>
        <v>858.85</v>
      </c>
      <c r="V14" s="70">
        <v>81.59075</v>
      </c>
    </row>
    <row r="15" spans="1:22" ht="15.6" x14ac:dyDescent="0.3">
      <c r="A15" s="67">
        <v>1379</v>
      </c>
      <c r="B15" s="68">
        <v>45266</v>
      </c>
      <c r="C15" s="67">
        <v>6</v>
      </c>
      <c r="D15" s="67" t="s">
        <v>464</v>
      </c>
      <c r="E15" s="67" t="s">
        <v>465</v>
      </c>
      <c r="F15" s="67" t="s">
        <v>466</v>
      </c>
      <c r="G15" s="67" t="s">
        <v>467</v>
      </c>
      <c r="H15" s="67" t="s">
        <v>418</v>
      </c>
      <c r="I15" s="67" t="s">
        <v>468</v>
      </c>
      <c r="J15" s="67" t="s">
        <v>314</v>
      </c>
      <c r="K15" s="68">
        <f t="shared" si="0"/>
        <v>45268</v>
      </c>
      <c r="L15" s="67" t="s">
        <v>420</v>
      </c>
      <c r="M15" s="67" t="s">
        <v>469</v>
      </c>
      <c r="N15" s="67" t="s">
        <v>466</v>
      </c>
      <c r="O15" s="67" t="s">
        <v>467</v>
      </c>
      <c r="P15" s="67" t="s">
        <v>418</v>
      </c>
      <c r="Q15" s="67" t="s">
        <v>470</v>
      </c>
      <c r="R15" s="67" t="s">
        <v>471</v>
      </c>
      <c r="S15" s="69">
        <v>40</v>
      </c>
      <c r="T15" s="67">
        <v>25</v>
      </c>
      <c r="U15" s="69">
        <f t="shared" si="1"/>
        <v>1000</v>
      </c>
      <c r="V15" s="70">
        <v>96</v>
      </c>
    </row>
    <row r="16" spans="1:22" ht="15.6" x14ac:dyDescent="0.3">
      <c r="A16" s="67">
        <v>1380</v>
      </c>
      <c r="B16" s="68">
        <v>45288</v>
      </c>
      <c r="C16" s="67">
        <v>28</v>
      </c>
      <c r="D16" s="67" t="s">
        <v>472</v>
      </c>
      <c r="E16" s="67" t="s">
        <v>473</v>
      </c>
      <c r="F16" s="67" t="s">
        <v>474</v>
      </c>
      <c r="G16" s="67" t="s">
        <v>475</v>
      </c>
      <c r="H16" s="67" t="s">
        <v>418</v>
      </c>
      <c r="I16" s="67" t="s">
        <v>476</v>
      </c>
      <c r="J16" s="67" t="s">
        <v>316</v>
      </c>
      <c r="K16" s="68">
        <f t="shared" si="0"/>
        <v>45290</v>
      </c>
      <c r="L16" s="67" t="s">
        <v>445</v>
      </c>
      <c r="M16" s="67" t="s">
        <v>477</v>
      </c>
      <c r="N16" s="67" t="s">
        <v>474</v>
      </c>
      <c r="O16" s="67" t="s">
        <v>475</v>
      </c>
      <c r="P16" s="67" t="s">
        <v>418</v>
      </c>
      <c r="Q16" s="67" t="s">
        <v>439</v>
      </c>
      <c r="R16" s="67" t="s">
        <v>423</v>
      </c>
      <c r="S16" s="69">
        <v>46</v>
      </c>
      <c r="T16" s="67">
        <v>19</v>
      </c>
      <c r="U16" s="69">
        <f t="shared" si="1"/>
        <v>874</v>
      </c>
      <c r="V16" s="70">
        <v>89.14800000000001</v>
      </c>
    </row>
    <row r="17" spans="1:22" ht="15.6" x14ac:dyDescent="0.3">
      <c r="A17" s="67">
        <v>1381</v>
      </c>
      <c r="B17" s="68">
        <v>45268</v>
      </c>
      <c r="C17" s="67">
        <v>8</v>
      </c>
      <c r="D17" s="67" t="s">
        <v>440</v>
      </c>
      <c r="E17" s="67" t="s">
        <v>441</v>
      </c>
      <c r="F17" s="67" t="s">
        <v>442</v>
      </c>
      <c r="G17" s="67" t="s">
        <v>443</v>
      </c>
      <c r="H17" s="67" t="s">
        <v>418</v>
      </c>
      <c r="I17" s="67" t="s">
        <v>444</v>
      </c>
      <c r="J17" s="67" t="s">
        <v>314</v>
      </c>
      <c r="K17" s="68">
        <f t="shared" si="0"/>
        <v>45270</v>
      </c>
      <c r="L17" s="67" t="s">
        <v>445</v>
      </c>
      <c r="M17" s="67" t="s">
        <v>446</v>
      </c>
      <c r="N17" s="67" t="s">
        <v>442</v>
      </c>
      <c r="O17" s="67" t="s">
        <v>443</v>
      </c>
      <c r="P17" s="67" t="s">
        <v>418</v>
      </c>
      <c r="Q17" s="67" t="s">
        <v>455</v>
      </c>
      <c r="R17" s="67" t="s">
        <v>456</v>
      </c>
      <c r="S17" s="69">
        <v>12.75</v>
      </c>
      <c r="T17" s="67">
        <v>36</v>
      </c>
      <c r="U17" s="69">
        <f t="shared" si="1"/>
        <v>459</v>
      </c>
      <c r="V17" s="70">
        <v>45.441000000000003</v>
      </c>
    </row>
    <row r="18" spans="1:22" ht="15.6" x14ac:dyDescent="0.3">
      <c r="A18" s="67">
        <v>1382</v>
      </c>
      <c r="B18" s="68">
        <v>45270</v>
      </c>
      <c r="C18" s="67">
        <v>10</v>
      </c>
      <c r="D18" s="67" t="s">
        <v>478</v>
      </c>
      <c r="E18" s="67" t="s">
        <v>479</v>
      </c>
      <c r="F18" s="67" t="s">
        <v>480</v>
      </c>
      <c r="G18" s="67" t="s">
        <v>481</v>
      </c>
      <c r="H18" s="67" t="s">
        <v>418</v>
      </c>
      <c r="I18" s="67" t="s">
        <v>482</v>
      </c>
      <c r="J18" s="67" t="s">
        <v>298</v>
      </c>
      <c r="K18" s="68">
        <f t="shared" si="0"/>
        <v>45272</v>
      </c>
      <c r="L18" s="67" t="s">
        <v>420</v>
      </c>
      <c r="M18" s="67" t="s">
        <v>483</v>
      </c>
      <c r="N18" s="67" t="s">
        <v>480</v>
      </c>
      <c r="O18" s="67" t="s">
        <v>481</v>
      </c>
      <c r="P18" s="67" t="s">
        <v>418</v>
      </c>
      <c r="Q18" s="67" t="s">
        <v>484</v>
      </c>
      <c r="R18" s="67" t="s">
        <v>423</v>
      </c>
      <c r="S18" s="69">
        <v>2.99</v>
      </c>
      <c r="T18" s="67">
        <v>93</v>
      </c>
      <c r="U18" s="69">
        <f t="shared" si="1"/>
        <v>278.07</v>
      </c>
      <c r="V18" s="70">
        <v>26.416650000000001</v>
      </c>
    </row>
    <row r="19" spans="1:22" ht="15.6" x14ac:dyDescent="0.3">
      <c r="A19" s="67">
        <v>1383</v>
      </c>
      <c r="B19" s="68">
        <v>45267</v>
      </c>
      <c r="C19" s="67">
        <v>7</v>
      </c>
      <c r="D19" s="67" t="s">
        <v>485</v>
      </c>
      <c r="E19" s="67" t="s">
        <v>486</v>
      </c>
      <c r="F19" s="67" t="s">
        <v>487</v>
      </c>
      <c r="G19" s="67" t="s">
        <v>488</v>
      </c>
      <c r="H19" s="67" t="s">
        <v>418</v>
      </c>
      <c r="I19" s="67" t="s">
        <v>444</v>
      </c>
      <c r="J19" s="67" t="s">
        <v>314</v>
      </c>
      <c r="K19" s="68">
        <f t="shared" si="0"/>
        <v>45269</v>
      </c>
      <c r="L19" s="67" t="s">
        <v>420</v>
      </c>
      <c r="M19" s="67" t="s">
        <v>489</v>
      </c>
      <c r="N19" s="67" t="s">
        <v>487</v>
      </c>
      <c r="O19" s="67" t="s">
        <v>488</v>
      </c>
      <c r="P19" s="67" t="s">
        <v>418</v>
      </c>
      <c r="Q19" s="67" t="s">
        <v>439</v>
      </c>
      <c r="R19" s="67" t="s">
        <v>423</v>
      </c>
      <c r="S19" s="69">
        <v>46</v>
      </c>
      <c r="T19" s="67">
        <v>64</v>
      </c>
      <c r="U19" s="69">
        <f t="shared" si="1"/>
        <v>2944</v>
      </c>
      <c r="V19" s="70">
        <v>279.68</v>
      </c>
    </row>
    <row r="20" spans="1:22" ht="15.6" x14ac:dyDescent="0.3">
      <c r="A20" s="67">
        <v>1384</v>
      </c>
      <c r="B20" s="68">
        <v>45270</v>
      </c>
      <c r="C20" s="67">
        <v>10</v>
      </c>
      <c r="D20" s="67" t="s">
        <v>478</v>
      </c>
      <c r="E20" s="67" t="s">
        <v>479</v>
      </c>
      <c r="F20" s="67" t="s">
        <v>480</v>
      </c>
      <c r="G20" s="67" t="s">
        <v>481</v>
      </c>
      <c r="H20" s="67" t="s">
        <v>418</v>
      </c>
      <c r="I20" s="67" t="s">
        <v>482</v>
      </c>
      <c r="J20" s="67" t="s">
        <v>298</v>
      </c>
      <c r="K20" s="68">
        <f t="shared" si="0"/>
        <v>45272</v>
      </c>
      <c r="L20" s="67" t="s">
        <v>431</v>
      </c>
      <c r="M20" s="67" t="s">
        <v>483</v>
      </c>
      <c r="N20" s="67" t="s">
        <v>480</v>
      </c>
      <c r="O20" s="67" t="s">
        <v>481</v>
      </c>
      <c r="P20" s="67" t="s">
        <v>418</v>
      </c>
      <c r="Q20" s="67" t="s">
        <v>490</v>
      </c>
      <c r="R20" s="67" t="s">
        <v>491</v>
      </c>
      <c r="S20" s="69">
        <v>25</v>
      </c>
      <c r="T20" s="67">
        <v>84</v>
      </c>
      <c r="U20" s="69">
        <f t="shared" si="1"/>
        <v>2100</v>
      </c>
      <c r="V20" s="70">
        <v>220.5</v>
      </c>
    </row>
    <row r="21" spans="1:22" ht="15.6" x14ac:dyDescent="0.3">
      <c r="A21" s="67">
        <v>1385</v>
      </c>
      <c r="B21" s="68">
        <v>45270</v>
      </c>
      <c r="C21" s="67">
        <v>10</v>
      </c>
      <c r="D21" s="67" t="s">
        <v>478</v>
      </c>
      <c r="E21" s="67" t="s">
        <v>479</v>
      </c>
      <c r="F21" s="67" t="s">
        <v>480</v>
      </c>
      <c r="G21" s="67" t="s">
        <v>481</v>
      </c>
      <c r="H21" s="67" t="s">
        <v>418</v>
      </c>
      <c r="I21" s="67" t="s">
        <v>482</v>
      </c>
      <c r="J21" s="67" t="s">
        <v>298</v>
      </c>
      <c r="K21" s="68">
        <f t="shared" si="0"/>
        <v>45272</v>
      </c>
      <c r="L21" s="67" t="s">
        <v>431</v>
      </c>
      <c r="M21" s="67" t="s">
        <v>483</v>
      </c>
      <c r="N21" s="67" t="s">
        <v>480</v>
      </c>
      <c r="O21" s="67" t="s">
        <v>481</v>
      </c>
      <c r="P21" s="67" t="s">
        <v>418</v>
      </c>
      <c r="Q21" s="67" t="s">
        <v>492</v>
      </c>
      <c r="R21" s="67" t="s">
        <v>493</v>
      </c>
      <c r="S21" s="69">
        <v>22</v>
      </c>
      <c r="T21" s="67">
        <v>72</v>
      </c>
      <c r="U21" s="69">
        <f t="shared" si="1"/>
        <v>1584</v>
      </c>
      <c r="V21" s="70">
        <v>150.47999999999999</v>
      </c>
    </row>
    <row r="22" spans="1:22" ht="15.6" x14ac:dyDescent="0.3">
      <c r="A22" s="67">
        <v>1386</v>
      </c>
      <c r="B22" s="68">
        <v>45270</v>
      </c>
      <c r="C22" s="67">
        <v>10</v>
      </c>
      <c r="D22" s="67" t="s">
        <v>478</v>
      </c>
      <c r="E22" s="67" t="s">
        <v>479</v>
      </c>
      <c r="F22" s="67" t="s">
        <v>480</v>
      </c>
      <c r="G22" s="67" t="s">
        <v>481</v>
      </c>
      <c r="H22" s="67" t="s">
        <v>418</v>
      </c>
      <c r="I22" s="67" t="s">
        <v>482</v>
      </c>
      <c r="J22" s="67" t="s">
        <v>298</v>
      </c>
      <c r="K22" s="68">
        <f t="shared" si="0"/>
        <v>45272</v>
      </c>
      <c r="L22" s="67" t="s">
        <v>431</v>
      </c>
      <c r="M22" s="67" t="s">
        <v>483</v>
      </c>
      <c r="N22" s="67" t="s">
        <v>480</v>
      </c>
      <c r="O22" s="67" t="s">
        <v>481</v>
      </c>
      <c r="P22" s="67" t="s">
        <v>418</v>
      </c>
      <c r="Q22" s="67" t="s">
        <v>447</v>
      </c>
      <c r="R22" s="67" t="s">
        <v>448</v>
      </c>
      <c r="S22" s="69">
        <v>9.1999999999999993</v>
      </c>
      <c r="T22" s="67">
        <v>60</v>
      </c>
      <c r="U22" s="69">
        <f t="shared" si="1"/>
        <v>552</v>
      </c>
      <c r="V22" s="70">
        <v>56.856000000000002</v>
      </c>
    </row>
    <row r="23" spans="1:22" ht="15.6" x14ac:dyDescent="0.3">
      <c r="A23" s="67">
        <v>1387</v>
      </c>
      <c r="B23" s="68">
        <v>45271</v>
      </c>
      <c r="C23" s="67">
        <v>11</v>
      </c>
      <c r="D23" s="67" t="s">
        <v>494</v>
      </c>
      <c r="E23" s="67" t="s">
        <v>495</v>
      </c>
      <c r="F23" s="67" t="s">
        <v>496</v>
      </c>
      <c r="G23" s="67" t="s">
        <v>497</v>
      </c>
      <c r="H23" s="67" t="s">
        <v>418</v>
      </c>
      <c r="I23" s="67" t="s">
        <v>476</v>
      </c>
      <c r="J23" s="67" t="s">
        <v>316</v>
      </c>
      <c r="K23" s="68">
        <f t="shared" si="0"/>
        <v>45273</v>
      </c>
      <c r="L23" s="67" t="s">
        <v>445</v>
      </c>
      <c r="M23" s="67" t="s">
        <v>498</v>
      </c>
      <c r="N23" s="67" t="s">
        <v>496</v>
      </c>
      <c r="O23" s="67" t="s">
        <v>497</v>
      </c>
      <c r="P23" s="67" t="s">
        <v>418</v>
      </c>
      <c r="Q23" s="67" t="s">
        <v>424</v>
      </c>
      <c r="R23" s="67" t="s">
        <v>425</v>
      </c>
      <c r="S23" s="69">
        <v>3.5</v>
      </c>
      <c r="T23" s="67">
        <v>67</v>
      </c>
      <c r="U23" s="69">
        <f t="shared" si="1"/>
        <v>234.5</v>
      </c>
      <c r="V23" s="70">
        <v>22.746500000000001</v>
      </c>
    </row>
    <row r="24" spans="1:22" ht="15.6" x14ac:dyDescent="0.3">
      <c r="A24" s="67">
        <v>1388</v>
      </c>
      <c r="B24" s="68">
        <v>45271</v>
      </c>
      <c r="C24" s="67">
        <v>11</v>
      </c>
      <c r="D24" s="67" t="s">
        <v>494</v>
      </c>
      <c r="E24" s="67" t="s">
        <v>495</v>
      </c>
      <c r="F24" s="67" t="s">
        <v>496</v>
      </c>
      <c r="G24" s="67" t="s">
        <v>497</v>
      </c>
      <c r="H24" s="67" t="s">
        <v>418</v>
      </c>
      <c r="I24" s="67" t="s">
        <v>476</v>
      </c>
      <c r="J24" s="67" t="s">
        <v>316</v>
      </c>
      <c r="K24" s="68">
        <f t="shared" si="0"/>
        <v>45273</v>
      </c>
      <c r="L24" s="67" t="s">
        <v>445</v>
      </c>
      <c r="M24" s="67" t="s">
        <v>498</v>
      </c>
      <c r="N24" s="67" t="s">
        <v>496</v>
      </c>
      <c r="O24" s="67" t="s">
        <v>497</v>
      </c>
      <c r="P24" s="67" t="s">
        <v>418</v>
      </c>
      <c r="Q24" s="67" t="s">
        <v>484</v>
      </c>
      <c r="R24" s="67" t="s">
        <v>423</v>
      </c>
      <c r="S24" s="69">
        <v>2.99</v>
      </c>
      <c r="T24" s="67">
        <v>48</v>
      </c>
      <c r="U24" s="69">
        <f t="shared" si="1"/>
        <v>143.52000000000001</v>
      </c>
      <c r="V24" s="70">
        <v>13.634400000000001</v>
      </c>
    </row>
    <row r="25" spans="1:22" ht="15.6" x14ac:dyDescent="0.3">
      <c r="A25" s="67">
        <v>1389</v>
      </c>
      <c r="B25" s="68">
        <v>45261</v>
      </c>
      <c r="C25" s="67">
        <v>1</v>
      </c>
      <c r="D25" s="67" t="s">
        <v>499</v>
      </c>
      <c r="E25" s="67" t="s">
        <v>500</v>
      </c>
      <c r="F25" s="67" t="s">
        <v>501</v>
      </c>
      <c r="G25" s="67" t="s">
        <v>502</v>
      </c>
      <c r="H25" s="67" t="s">
        <v>418</v>
      </c>
      <c r="I25" s="67" t="s">
        <v>444</v>
      </c>
      <c r="J25" s="67" t="s">
        <v>314</v>
      </c>
      <c r="K25" s="68">
        <f t="shared" si="0"/>
        <v>45263</v>
      </c>
      <c r="L25" s="67" t="s">
        <v>445</v>
      </c>
      <c r="M25" s="67" t="s">
        <v>503</v>
      </c>
      <c r="N25" s="67" t="s">
        <v>501</v>
      </c>
      <c r="O25" s="67" t="s">
        <v>502</v>
      </c>
      <c r="P25" s="67" t="s">
        <v>418</v>
      </c>
      <c r="Q25" s="67" t="s">
        <v>438</v>
      </c>
      <c r="R25" s="67" t="s">
        <v>423</v>
      </c>
      <c r="S25" s="69">
        <v>18</v>
      </c>
      <c r="T25" s="67">
        <v>64</v>
      </c>
      <c r="U25" s="69">
        <f t="shared" si="1"/>
        <v>1152</v>
      </c>
      <c r="V25" s="70">
        <v>118.65600000000001</v>
      </c>
    </row>
    <row r="26" spans="1:22" ht="15.6" x14ac:dyDescent="0.3">
      <c r="A26" s="67">
        <v>1390</v>
      </c>
      <c r="B26" s="68">
        <v>45261</v>
      </c>
      <c r="C26" s="67">
        <v>1</v>
      </c>
      <c r="D26" s="67" t="s">
        <v>499</v>
      </c>
      <c r="E26" s="67" t="s">
        <v>500</v>
      </c>
      <c r="F26" s="67" t="s">
        <v>501</v>
      </c>
      <c r="G26" s="67" t="s">
        <v>502</v>
      </c>
      <c r="H26" s="67" t="s">
        <v>418</v>
      </c>
      <c r="I26" s="67" t="s">
        <v>444</v>
      </c>
      <c r="J26" s="67" t="s">
        <v>314</v>
      </c>
      <c r="K26" s="68">
        <f t="shared" si="0"/>
        <v>45263</v>
      </c>
      <c r="L26" s="67" t="s">
        <v>445</v>
      </c>
      <c r="M26" s="67" t="s">
        <v>503</v>
      </c>
      <c r="N26" s="67" t="s">
        <v>501</v>
      </c>
      <c r="O26" s="67" t="s">
        <v>502</v>
      </c>
      <c r="P26" s="67" t="s">
        <v>418</v>
      </c>
      <c r="Q26" s="67" t="s">
        <v>439</v>
      </c>
      <c r="R26" s="67" t="s">
        <v>423</v>
      </c>
      <c r="S26" s="69">
        <v>46</v>
      </c>
      <c r="T26" s="67">
        <v>82</v>
      </c>
      <c r="U26" s="69">
        <f t="shared" si="1"/>
        <v>3772</v>
      </c>
      <c r="V26" s="70">
        <v>392.28800000000007</v>
      </c>
    </row>
    <row r="27" spans="1:22" ht="15.6" x14ac:dyDescent="0.3">
      <c r="A27" s="67">
        <v>1391</v>
      </c>
      <c r="B27" s="68">
        <v>45261</v>
      </c>
      <c r="C27" s="67">
        <v>1</v>
      </c>
      <c r="D27" s="67" t="s">
        <v>499</v>
      </c>
      <c r="E27" s="67" t="s">
        <v>500</v>
      </c>
      <c r="F27" s="67" t="s">
        <v>501</v>
      </c>
      <c r="G27" s="67" t="s">
        <v>502</v>
      </c>
      <c r="H27" s="67" t="s">
        <v>418</v>
      </c>
      <c r="I27" s="67" t="s">
        <v>444</v>
      </c>
      <c r="J27" s="67" t="s">
        <v>314</v>
      </c>
      <c r="K27" s="68">
        <f t="shared" si="0"/>
        <v>45263</v>
      </c>
      <c r="L27" s="67" t="s">
        <v>445</v>
      </c>
      <c r="M27" s="67" t="s">
        <v>503</v>
      </c>
      <c r="N27" s="67" t="s">
        <v>501</v>
      </c>
      <c r="O27" s="67" t="s">
        <v>502</v>
      </c>
      <c r="P27" s="67" t="s">
        <v>418</v>
      </c>
      <c r="Q27" s="67" t="s">
        <v>484</v>
      </c>
      <c r="R27" s="67" t="s">
        <v>423</v>
      </c>
      <c r="S27" s="69">
        <v>2.99</v>
      </c>
      <c r="T27" s="67">
        <v>17</v>
      </c>
      <c r="U27" s="69">
        <f t="shared" si="1"/>
        <v>50.830000000000005</v>
      </c>
      <c r="V27" s="70">
        <v>5.1338300000000014</v>
      </c>
    </row>
    <row r="28" spans="1:22" ht="15.6" x14ac:dyDescent="0.3">
      <c r="A28" s="67">
        <v>1392</v>
      </c>
      <c r="B28" s="68">
        <v>45288</v>
      </c>
      <c r="C28" s="67">
        <v>28</v>
      </c>
      <c r="D28" s="67" t="s">
        <v>472</v>
      </c>
      <c r="E28" s="67" t="s">
        <v>473</v>
      </c>
      <c r="F28" s="67" t="s">
        <v>474</v>
      </c>
      <c r="G28" s="67" t="s">
        <v>475</v>
      </c>
      <c r="H28" s="67" t="s">
        <v>418</v>
      </c>
      <c r="I28" s="67" t="s">
        <v>476</v>
      </c>
      <c r="J28" s="67" t="s">
        <v>316</v>
      </c>
      <c r="K28" s="68">
        <f t="shared" si="0"/>
        <v>45290</v>
      </c>
      <c r="L28" s="67" t="s">
        <v>445</v>
      </c>
      <c r="M28" s="67" t="s">
        <v>477</v>
      </c>
      <c r="N28" s="67" t="s">
        <v>474</v>
      </c>
      <c r="O28" s="67" t="s">
        <v>475</v>
      </c>
      <c r="P28" s="67" t="s">
        <v>418</v>
      </c>
      <c r="Q28" s="67" t="s">
        <v>462</v>
      </c>
      <c r="R28" s="67" t="s">
        <v>463</v>
      </c>
      <c r="S28" s="69">
        <v>9.65</v>
      </c>
      <c r="T28" s="67">
        <v>38</v>
      </c>
      <c r="U28" s="69">
        <f t="shared" si="1"/>
        <v>366.7</v>
      </c>
      <c r="V28" s="70">
        <v>36.67</v>
      </c>
    </row>
    <row r="29" spans="1:22" ht="15.6" x14ac:dyDescent="0.3">
      <c r="A29" s="67">
        <v>1393</v>
      </c>
      <c r="B29" s="68">
        <v>45288</v>
      </c>
      <c r="C29" s="67">
        <v>28</v>
      </c>
      <c r="D29" s="67" t="s">
        <v>472</v>
      </c>
      <c r="E29" s="67" t="s">
        <v>473</v>
      </c>
      <c r="F29" s="67" t="s">
        <v>474</v>
      </c>
      <c r="G29" s="67" t="s">
        <v>475</v>
      </c>
      <c r="H29" s="67" t="s">
        <v>418</v>
      </c>
      <c r="I29" s="67" t="s">
        <v>476</v>
      </c>
      <c r="J29" s="67" t="s">
        <v>316</v>
      </c>
      <c r="K29" s="68">
        <f t="shared" si="0"/>
        <v>45290</v>
      </c>
      <c r="L29" s="67" t="s">
        <v>445</v>
      </c>
      <c r="M29" s="67" t="s">
        <v>477</v>
      </c>
      <c r="N29" s="67" t="s">
        <v>474</v>
      </c>
      <c r="O29" s="67" t="s">
        <v>475</v>
      </c>
      <c r="P29" s="67" t="s">
        <v>418</v>
      </c>
      <c r="Q29" s="67" t="s">
        <v>504</v>
      </c>
      <c r="R29" s="67" t="s">
        <v>505</v>
      </c>
      <c r="S29" s="69">
        <v>18.399999999999999</v>
      </c>
      <c r="T29" s="67">
        <v>25</v>
      </c>
      <c r="U29" s="69">
        <f t="shared" si="1"/>
        <v>459.99999999999994</v>
      </c>
      <c r="V29" s="70">
        <v>45.54</v>
      </c>
    </row>
    <row r="30" spans="1:22" ht="15.6" x14ac:dyDescent="0.3">
      <c r="A30" s="67">
        <v>1394</v>
      </c>
      <c r="B30" s="68">
        <v>45269</v>
      </c>
      <c r="C30" s="67">
        <v>9</v>
      </c>
      <c r="D30" s="67" t="s">
        <v>506</v>
      </c>
      <c r="E30" s="67" t="s">
        <v>507</v>
      </c>
      <c r="F30" s="67" t="s">
        <v>508</v>
      </c>
      <c r="G30" s="67" t="s">
        <v>509</v>
      </c>
      <c r="H30" s="67" t="s">
        <v>418</v>
      </c>
      <c r="I30" s="67" t="s">
        <v>510</v>
      </c>
      <c r="J30" s="67" t="s">
        <v>318</v>
      </c>
      <c r="K30" s="68">
        <f t="shared" si="0"/>
        <v>45271</v>
      </c>
      <c r="L30" s="67" t="s">
        <v>431</v>
      </c>
      <c r="M30" s="67" t="s">
        <v>511</v>
      </c>
      <c r="N30" s="67" t="s">
        <v>508</v>
      </c>
      <c r="O30" s="67" t="s">
        <v>509</v>
      </c>
      <c r="P30" s="67" t="s">
        <v>418</v>
      </c>
      <c r="Q30" s="67" t="s">
        <v>512</v>
      </c>
      <c r="R30" s="67" t="s">
        <v>513</v>
      </c>
      <c r="S30" s="69">
        <v>19.5</v>
      </c>
      <c r="T30" s="67">
        <v>85</v>
      </c>
      <c r="U30" s="69">
        <f t="shared" si="1"/>
        <v>1657.5</v>
      </c>
      <c r="V30" s="70">
        <v>165.75</v>
      </c>
    </row>
    <row r="31" spans="1:22" ht="15.6" x14ac:dyDescent="0.3">
      <c r="A31" s="67">
        <v>1395</v>
      </c>
      <c r="B31" s="68">
        <v>45269</v>
      </c>
      <c r="C31" s="67">
        <v>9</v>
      </c>
      <c r="D31" s="67" t="s">
        <v>506</v>
      </c>
      <c r="E31" s="67" t="s">
        <v>507</v>
      </c>
      <c r="F31" s="67" t="s">
        <v>508</v>
      </c>
      <c r="G31" s="67" t="s">
        <v>509</v>
      </c>
      <c r="H31" s="67" t="s">
        <v>418</v>
      </c>
      <c r="I31" s="67" t="s">
        <v>510</v>
      </c>
      <c r="J31" s="67" t="s">
        <v>318</v>
      </c>
      <c r="K31" s="68">
        <f t="shared" si="0"/>
        <v>45271</v>
      </c>
      <c r="L31" s="67" t="s">
        <v>431</v>
      </c>
      <c r="M31" s="67" t="s">
        <v>511</v>
      </c>
      <c r="N31" s="67" t="s">
        <v>508</v>
      </c>
      <c r="O31" s="67" t="s">
        <v>509</v>
      </c>
      <c r="P31" s="67" t="s">
        <v>418</v>
      </c>
      <c r="Q31" s="67" t="s">
        <v>514</v>
      </c>
      <c r="R31" s="67" t="s">
        <v>515</v>
      </c>
      <c r="S31" s="69">
        <v>34.799999999999997</v>
      </c>
      <c r="T31" s="67">
        <v>18</v>
      </c>
      <c r="U31" s="69">
        <f t="shared" si="1"/>
        <v>626.4</v>
      </c>
      <c r="V31" s="70">
        <v>61.3872</v>
      </c>
    </row>
    <row r="32" spans="1:22" ht="15.6" x14ac:dyDescent="0.3">
      <c r="A32" s="67">
        <v>1396</v>
      </c>
      <c r="B32" s="68">
        <v>45266</v>
      </c>
      <c r="C32" s="67">
        <v>6</v>
      </c>
      <c r="D32" s="67" t="s">
        <v>464</v>
      </c>
      <c r="E32" s="67" t="s">
        <v>465</v>
      </c>
      <c r="F32" s="67" t="s">
        <v>466</v>
      </c>
      <c r="G32" s="67" t="s">
        <v>467</v>
      </c>
      <c r="H32" s="67" t="s">
        <v>418</v>
      </c>
      <c r="I32" s="67" t="s">
        <v>468</v>
      </c>
      <c r="J32" s="67" t="s">
        <v>314</v>
      </c>
      <c r="K32" s="68">
        <f t="shared" si="0"/>
        <v>45268</v>
      </c>
      <c r="L32" s="67" t="s">
        <v>420</v>
      </c>
      <c r="M32" s="67" t="s">
        <v>469</v>
      </c>
      <c r="N32" s="67" t="s">
        <v>466</v>
      </c>
      <c r="O32" s="67" t="s">
        <v>467</v>
      </c>
      <c r="P32" s="67" t="s">
        <v>418</v>
      </c>
      <c r="Q32" s="67" t="s">
        <v>422</v>
      </c>
      <c r="R32" s="67" t="s">
        <v>423</v>
      </c>
      <c r="S32" s="69">
        <v>14</v>
      </c>
      <c r="T32" s="67">
        <v>85</v>
      </c>
      <c r="U32" s="69">
        <f t="shared" si="1"/>
        <v>1190</v>
      </c>
      <c r="V32" s="70">
        <v>115.42999999999999</v>
      </c>
    </row>
    <row r="33" spans="1:22" ht="15.6" x14ac:dyDescent="0.3">
      <c r="A33" s="67">
        <v>1397</v>
      </c>
      <c r="B33" s="68">
        <v>45268</v>
      </c>
      <c r="C33" s="67">
        <v>8</v>
      </c>
      <c r="D33" s="67" t="s">
        <v>440</v>
      </c>
      <c r="E33" s="67" t="s">
        <v>441</v>
      </c>
      <c r="F33" s="67" t="s">
        <v>442</v>
      </c>
      <c r="G33" s="67" t="s">
        <v>443</v>
      </c>
      <c r="H33" s="67" t="s">
        <v>418</v>
      </c>
      <c r="I33" s="67" t="s">
        <v>444</v>
      </c>
      <c r="J33" s="67" t="s">
        <v>314</v>
      </c>
      <c r="K33" s="68">
        <f t="shared" si="0"/>
        <v>45270</v>
      </c>
      <c r="L33" s="67" t="s">
        <v>420</v>
      </c>
      <c r="M33" s="67" t="s">
        <v>446</v>
      </c>
      <c r="N33" s="67" t="s">
        <v>442</v>
      </c>
      <c r="O33" s="67" t="s">
        <v>443</v>
      </c>
      <c r="P33" s="67" t="s">
        <v>418</v>
      </c>
      <c r="Q33" s="67" t="s">
        <v>470</v>
      </c>
      <c r="R33" s="67" t="s">
        <v>471</v>
      </c>
      <c r="S33" s="69">
        <v>40</v>
      </c>
      <c r="T33" s="67">
        <v>82</v>
      </c>
      <c r="U33" s="69">
        <f t="shared" si="1"/>
        <v>3280</v>
      </c>
      <c r="V33" s="70">
        <v>318.15999999999997</v>
      </c>
    </row>
    <row r="34" spans="1:22" ht="15.6" x14ac:dyDescent="0.3">
      <c r="A34" s="67">
        <v>1398</v>
      </c>
      <c r="B34" s="68">
        <v>45268</v>
      </c>
      <c r="C34" s="67">
        <v>8</v>
      </c>
      <c r="D34" s="67" t="s">
        <v>440</v>
      </c>
      <c r="E34" s="67" t="s">
        <v>441</v>
      </c>
      <c r="F34" s="67" t="s">
        <v>442</v>
      </c>
      <c r="G34" s="67" t="s">
        <v>443</v>
      </c>
      <c r="H34" s="67" t="s">
        <v>418</v>
      </c>
      <c r="I34" s="67" t="s">
        <v>444</v>
      </c>
      <c r="J34" s="67" t="s">
        <v>314</v>
      </c>
      <c r="K34" s="68">
        <f t="shared" si="0"/>
        <v>45270</v>
      </c>
      <c r="L34" s="67" t="s">
        <v>420</v>
      </c>
      <c r="M34" s="67" t="s">
        <v>446</v>
      </c>
      <c r="N34" s="67" t="s">
        <v>442</v>
      </c>
      <c r="O34" s="67" t="s">
        <v>443</v>
      </c>
      <c r="P34" s="67" t="s">
        <v>418</v>
      </c>
      <c r="Q34" s="67" t="s">
        <v>447</v>
      </c>
      <c r="R34" s="67" t="s">
        <v>448</v>
      </c>
      <c r="S34" s="69">
        <v>9.1999999999999993</v>
      </c>
      <c r="T34" s="67">
        <v>47</v>
      </c>
      <c r="U34" s="69">
        <f t="shared" si="1"/>
        <v>432.4</v>
      </c>
      <c r="V34" s="70">
        <v>41.510399999999997</v>
      </c>
    </row>
    <row r="35" spans="1:22" ht="15.6" x14ac:dyDescent="0.3">
      <c r="A35" s="67">
        <v>1399</v>
      </c>
      <c r="B35" s="68">
        <v>45285</v>
      </c>
      <c r="C35" s="67">
        <v>25</v>
      </c>
      <c r="D35" s="67" t="s">
        <v>516</v>
      </c>
      <c r="E35" s="67" t="s">
        <v>517</v>
      </c>
      <c r="F35" s="67" t="s">
        <v>480</v>
      </c>
      <c r="G35" s="67" t="s">
        <v>481</v>
      </c>
      <c r="H35" s="67" t="s">
        <v>418</v>
      </c>
      <c r="I35" s="67" t="s">
        <v>482</v>
      </c>
      <c r="J35" s="67" t="s">
        <v>298</v>
      </c>
      <c r="K35" s="68">
        <f t="shared" si="0"/>
        <v>45287</v>
      </c>
      <c r="L35" s="67" t="s">
        <v>431</v>
      </c>
      <c r="M35" s="67" t="s">
        <v>518</v>
      </c>
      <c r="N35" s="67" t="s">
        <v>480</v>
      </c>
      <c r="O35" s="67" t="s">
        <v>481</v>
      </c>
      <c r="P35" s="67" t="s">
        <v>418</v>
      </c>
      <c r="Q35" s="67" t="s">
        <v>519</v>
      </c>
      <c r="R35" s="67" t="s">
        <v>448</v>
      </c>
      <c r="S35" s="69">
        <v>10</v>
      </c>
      <c r="T35" s="67">
        <v>99</v>
      </c>
      <c r="U35" s="69">
        <f t="shared" si="1"/>
        <v>990</v>
      </c>
      <c r="V35" s="70">
        <v>99</v>
      </c>
    </row>
    <row r="36" spans="1:22" ht="15.6" x14ac:dyDescent="0.3">
      <c r="A36" s="67">
        <v>1400</v>
      </c>
      <c r="B36" s="68">
        <v>45286</v>
      </c>
      <c r="C36" s="67">
        <v>26</v>
      </c>
      <c r="D36" s="67" t="s">
        <v>520</v>
      </c>
      <c r="E36" s="67" t="s">
        <v>521</v>
      </c>
      <c r="F36" s="67" t="s">
        <v>496</v>
      </c>
      <c r="G36" s="67" t="s">
        <v>497</v>
      </c>
      <c r="H36" s="67" t="s">
        <v>418</v>
      </c>
      <c r="I36" s="67" t="s">
        <v>476</v>
      </c>
      <c r="J36" s="67" t="s">
        <v>316</v>
      </c>
      <c r="K36" s="68">
        <f t="shared" ref="K36:K68" si="2">B36+2</f>
        <v>45288</v>
      </c>
      <c r="L36" s="67" t="s">
        <v>445</v>
      </c>
      <c r="M36" s="67" t="s">
        <v>522</v>
      </c>
      <c r="N36" s="67" t="s">
        <v>496</v>
      </c>
      <c r="O36" s="67" t="s">
        <v>497</v>
      </c>
      <c r="P36" s="67" t="s">
        <v>418</v>
      </c>
      <c r="Q36" s="67" t="s">
        <v>523</v>
      </c>
      <c r="R36" s="67" t="s">
        <v>524</v>
      </c>
      <c r="S36" s="69">
        <v>21.35</v>
      </c>
      <c r="T36" s="67">
        <v>49</v>
      </c>
      <c r="U36" s="69">
        <f t="shared" ref="U36:U67" si="3">S36*T36</f>
        <v>1046.1500000000001</v>
      </c>
      <c r="V36" s="70">
        <v>106.70730000000002</v>
      </c>
    </row>
    <row r="37" spans="1:22" ht="15.6" x14ac:dyDescent="0.3">
      <c r="A37" s="67">
        <v>1401</v>
      </c>
      <c r="B37" s="68">
        <v>45286</v>
      </c>
      <c r="C37" s="67">
        <v>26</v>
      </c>
      <c r="D37" s="67" t="s">
        <v>520</v>
      </c>
      <c r="E37" s="67" t="s">
        <v>521</v>
      </c>
      <c r="F37" s="67" t="s">
        <v>496</v>
      </c>
      <c r="G37" s="67" t="s">
        <v>497</v>
      </c>
      <c r="H37" s="67" t="s">
        <v>418</v>
      </c>
      <c r="I37" s="67" t="s">
        <v>476</v>
      </c>
      <c r="J37" s="67" t="s">
        <v>316</v>
      </c>
      <c r="K37" s="68">
        <f t="shared" si="2"/>
        <v>45288</v>
      </c>
      <c r="L37" s="67" t="s">
        <v>445</v>
      </c>
      <c r="M37" s="67" t="s">
        <v>522</v>
      </c>
      <c r="N37" s="67" t="s">
        <v>496</v>
      </c>
      <c r="O37" s="67" t="s">
        <v>497</v>
      </c>
      <c r="P37" s="67" t="s">
        <v>418</v>
      </c>
      <c r="Q37" s="67" t="s">
        <v>462</v>
      </c>
      <c r="R37" s="67" t="s">
        <v>463</v>
      </c>
      <c r="S37" s="69">
        <v>9.65</v>
      </c>
      <c r="T37" s="67">
        <v>72</v>
      </c>
      <c r="U37" s="69">
        <f t="shared" si="3"/>
        <v>694.80000000000007</v>
      </c>
      <c r="V37" s="70">
        <v>72.954000000000008</v>
      </c>
    </row>
    <row r="38" spans="1:22" ht="15.6" x14ac:dyDescent="0.3">
      <c r="A38" s="67">
        <v>1402</v>
      </c>
      <c r="B38" s="68">
        <v>45286</v>
      </c>
      <c r="C38" s="67">
        <v>26</v>
      </c>
      <c r="D38" s="67" t="s">
        <v>520</v>
      </c>
      <c r="E38" s="67" t="s">
        <v>521</v>
      </c>
      <c r="F38" s="67" t="s">
        <v>496</v>
      </c>
      <c r="G38" s="67" t="s">
        <v>497</v>
      </c>
      <c r="H38" s="67" t="s">
        <v>418</v>
      </c>
      <c r="I38" s="67" t="s">
        <v>476</v>
      </c>
      <c r="J38" s="67" t="s">
        <v>316</v>
      </c>
      <c r="K38" s="68">
        <f t="shared" si="2"/>
        <v>45288</v>
      </c>
      <c r="L38" s="67" t="s">
        <v>445</v>
      </c>
      <c r="M38" s="67" t="s">
        <v>522</v>
      </c>
      <c r="N38" s="67" t="s">
        <v>496</v>
      </c>
      <c r="O38" s="67" t="s">
        <v>497</v>
      </c>
      <c r="P38" s="67" t="s">
        <v>418</v>
      </c>
      <c r="Q38" s="67" t="s">
        <v>504</v>
      </c>
      <c r="R38" s="67" t="s">
        <v>505</v>
      </c>
      <c r="S38" s="69">
        <v>18.399999999999999</v>
      </c>
      <c r="T38" s="67">
        <v>99</v>
      </c>
      <c r="U38" s="69">
        <f t="shared" si="3"/>
        <v>1821.6</v>
      </c>
      <c r="V38" s="70">
        <v>191.268</v>
      </c>
    </row>
    <row r="39" spans="1:22" ht="15.6" x14ac:dyDescent="0.3">
      <c r="A39" s="67">
        <v>1403</v>
      </c>
      <c r="B39" s="68">
        <v>45289</v>
      </c>
      <c r="C39" s="67">
        <v>29</v>
      </c>
      <c r="D39" s="67" t="s">
        <v>449</v>
      </c>
      <c r="E39" s="67" t="s">
        <v>450</v>
      </c>
      <c r="F39" s="67" t="s">
        <v>451</v>
      </c>
      <c r="G39" s="67" t="s">
        <v>452</v>
      </c>
      <c r="H39" s="67" t="s">
        <v>418</v>
      </c>
      <c r="I39" s="67" t="s">
        <v>453</v>
      </c>
      <c r="J39" s="67" t="s">
        <v>318</v>
      </c>
      <c r="K39" s="68">
        <f t="shared" si="2"/>
        <v>45291</v>
      </c>
      <c r="L39" s="67" t="s">
        <v>420</v>
      </c>
      <c r="M39" s="67" t="s">
        <v>454</v>
      </c>
      <c r="N39" s="67" t="s">
        <v>451</v>
      </c>
      <c r="O39" s="67" t="s">
        <v>452</v>
      </c>
      <c r="P39" s="67" t="s">
        <v>418</v>
      </c>
      <c r="Q39" s="67" t="s">
        <v>422</v>
      </c>
      <c r="R39" s="67" t="s">
        <v>423</v>
      </c>
      <c r="S39" s="69">
        <v>14</v>
      </c>
      <c r="T39" s="67">
        <v>10</v>
      </c>
      <c r="U39" s="69">
        <f t="shared" si="3"/>
        <v>140</v>
      </c>
      <c r="V39" s="70">
        <v>13.86</v>
      </c>
    </row>
    <row r="40" spans="1:22" ht="15.6" x14ac:dyDescent="0.3">
      <c r="A40" s="67">
        <v>1404</v>
      </c>
      <c r="B40" s="68">
        <v>45266</v>
      </c>
      <c r="C40" s="67">
        <v>6</v>
      </c>
      <c r="D40" s="67" t="s">
        <v>464</v>
      </c>
      <c r="E40" s="67" t="s">
        <v>465</v>
      </c>
      <c r="F40" s="67" t="s">
        <v>466</v>
      </c>
      <c r="G40" s="67" t="s">
        <v>467</v>
      </c>
      <c r="H40" s="67" t="s">
        <v>418</v>
      </c>
      <c r="I40" s="67" t="s">
        <v>468</v>
      </c>
      <c r="J40" s="67" t="s">
        <v>314</v>
      </c>
      <c r="K40" s="68">
        <f t="shared" si="2"/>
        <v>45268</v>
      </c>
      <c r="L40" s="67" t="s">
        <v>445</v>
      </c>
      <c r="M40" s="67" t="s">
        <v>469</v>
      </c>
      <c r="N40" s="67" t="s">
        <v>466</v>
      </c>
      <c r="O40" s="67" t="s">
        <v>467</v>
      </c>
      <c r="P40" s="67" t="s">
        <v>418</v>
      </c>
      <c r="Q40" s="67" t="s">
        <v>455</v>
      </c>
      <c r="R40" s="67" t="s">
        <v>456</v>
      </c>
      <c r="S40" s="69">
        <v>12.75</v>
      </c>
      <c r="T40" s="67">
        <v>100</v>
      </c>
      <c r="U40" s="69">
        <f t="shared" si="3"/>
        <v>1275</v>
      </c>
      <c r="V40" s="70">
        <v>122.39999999999999</v>
      </c>
    </row>
    <row r="41" spans="1:22" ht="15.6" x14ac:dyDescent="0.3">
      <c r="A41" s="67">
        <v>1405</v>
      </c>
      <c r="B41" s="68">
        <v>45287</v>
      </c>
      <c r="C41" s="67">
        <v>27</v>
      </c>
      <c r="D41" s="67" t="s">
        <v>414</v>
      </c>
      <c r="E41" s="67" t="s">
        <v>415</v>
      </c>
      <c r="F41" s="67" t="s">
        <v>416</v>
      </c>
      <c r="G41" s="67" t="s">
        <v>417</v>
      </c>
      <c r="H41" s="67" t="s">
        <v>418</v>
      </c>
      <c r="I41" s="67" t="s">
        <v>419</v>
      </c>
      <c r="J41" s="67" t="s">
        <v>318</v>
      </c>
      <c r="K41" s="68">
        <f t="shared" si="2"/>
        <v>45289</v>
      </c>
      <c r="L41" s="67" t="s">
        <v>420</v>
      </c>
      <c r="M41" s="67" t="s">
        <v>421</v>
      </c>
      <c r="N41" s="67" t="s">
        <v>416</v>
      </c>
      <c r="O41" s="67" t="s">
        <v>417</v>
      </c>
      <c r="P41" s="67" t="s">
        <v>418</v>
      </c>
      <c r="Q41" s="67" t="s">
        <v>455</v>
      </c>
      <c r="R41" s="67" t="s">
        <v>456</v>
      </c>
      <c r="S41" s="69">
        <v>12.75</v>
      </c>
      <c r="T41" s="67">
        <v>100</v>
      </c>
      <c r="U41" s="69">
        <f t="shared" si="3"/>
        <v>1275</v>
      </c>
      <c r="V41" s="70">
        <v>27</v>
      </c>
    </row>
    <row r="42" spans="1:22" ht="15.6" x14ac:dyDescent="0.3">
      <c r="A42" s="67">
        <v>1406</v>
      </c>
      <c r="B42" s="68">
        <v>45264</v>
      </c>
      <c r="C42" s="67">
        <v>4</v>
      </c>
      <c r="D42" s="67" t="s">
        <v>426</v>
      </c>
      <c r="E42" s="67" t="s">
        <v>427</v>
      </c>
      <c r="F42" s="67" t="s">
        <v>428</v>
      </c>
      <c r="G42" s="67" t="s">
        <v>429</v>
      </c>
      <c r="H42" s="67" t="s">
        <v>418</v>
      </c>
      <c r="I42" s="67" t="s">
        <v>430</v>
      </c>
      <c r="J42" s="67" t="s">
        <v>298</v>
      </c>
      <c r="K42" s="68">
        <f t="shared" si="2"/>
        <v>45266</v>
      </c>
      <c r="L42" s="67" t="s">
        <v>431</v>
      </c>
      <c r="M42" s="67" t="s">
        <v>432</v>
      </c>
      <c r="N42" s="67" t="s">
        <v>428</v>
      </c>
      <c r="O42" s="67" t="s">
        <v>429</v>
      </c>
      <c r="P42" s="67" t="s">
        <v>418</v>
      </c>
      <c r="Q42" s="67" t="s">
        <v>525</v>
      </c>
      <c r="R42" s="67" t="s">
        <v>491</v>
      </c>
      <c r="S42" s="69">
        <v>81</v>
      </c>
      <c r="T42" s="67">
        <v>62</v>
      </c>
      <c r="U42" s="69">
        <f t="shared" si="3"/>
        <v>5022</v>
      </c>
      <c r="V42" s="70">
        <v>117.93600000000001</v>
      </c>
    </row>
    <row r="43" spans="1:22" ht="15.6" x14ac:dyDescent="0.3">
      <c r="A43" s="67">
        <v>1407</v>
      </c>
      <c r="B43" s="68">
        <v>45264</v>
      </c>
      <c r="C43" s="67">
        <v>4</v>
      </c>
      <c r="D43" s="67" t="s">
        <v>426</v>
      </c>
      <c r="E43" s="67" t="s">
        <v>427</v>
      </c>
      <c r="F43" s="67" t="s">
        <v>428</v>
      </c>
      <c r="G43" s="67" t="s">
        <v>429</v>
      </c>
      <c r="H43" s="67" t="s">
        <v>418</v>
      </c>
      <c r="I43" s="67" t="s">
        <v>430</v>
      </c>
      <c r="J43" s="67" t="s">
        <v>298</v>
      </c>
      <c r="K43" s="68">
        <f t="shared" si="2"/>
        <v>45266</v>
      </c>
      <c r="L43" s="67" t="s">
        <v>431</v>
      </c>
      <c r="M43" s="67" t="s">
        <v>432</v>
      </c>
      <c r="N43" s="67" t="s">
        <v>428</v>
      </c>
      <c r="O43" s="67" t="s">
        <v>429</v>
      </c>
      <c r="P43" s="67" t="s">
        <v>418</v>
      </c>
      <c r="Q43" s="67" t="s">
        <v>526</v>
      </c>
      <c r="R43" s="67" t="s">
        <v>527</v>
      </c>
      <c r="S43" s="69">
        <v>7</v>
      </c>
      <c r="T43" s="67">
        <v>91</v>
      </c>
      <c r="U43" s="69">
        <f t="shared" si="3"/>
        <v>637</v>
      </c>
      <c r="V43" s="70">
        <v>13.719999999999999</v>
      </c>
    </row>
    <row r="44" spans="1:22" ht="15.6" x14ac:dyDescent="0.3">
      <c r="A44" s="67">
        <v>1408</v>
      </c>
      <c r="B44" s="68">
        <v>45272</v>
      </c>
      <c r="C44" s="67">
        <v>12</v>
      </c>
      <c r="D44" s="67" t="s">
        <v>435</v>
      </c>
      <c r="E44" s="67" t="s">
        <v>436</v>
      </c>
      <c r="F44" s="67" t="s">
        <v>416</v>
      </c>
      <c r="G44" s="67" t="s">
        <v>417</v>
      </c>
      <c r="H44" s="67" t="s">
        <v>418</v>
      </c>
      <c r="I44" s="67" t="s">
        <v>419</v>
      </c>
      <c r="J44" s="67" t="s">
        <v>318</v>
      </c>
      <c r="K44" s="68">
        <f t="shared" si="2"/>
        <v>45274</v>
      </c>
      <c r="L44" s="67" t="s">
        <v>420</v>
      </c>
      <c r="M44" s="67" t="s">
        <v>437</v>
      </c>
      <c r="N44" s="67" t="s">
        <v>416</v>
      </c>
      <c r="O44" s="67" t="s">
        <v>417</v>
      </c>
      <c r="P44" s="67" t="s">
        <v>418</v>
      </c>
      <c r="Q44" s="67" t="s">
        <v>526</v>
      </c>
      <c r="R44" s="67" t="s">
        <v>527</v>
      </c>
      <c r="S44" s="69">
        <v>7</v>
      </c>
      <c r="T44" s="67">
        <v>91</v>
      </c>
      <c r="U44" s="69">
        <f t="shared" si="3"/>
        <v>637</v>
      </c>
      <c r="V44" s="70">
        <v>8</v>
      </c>
    </row>
    <row r="45" spans="1:22" ht="15.6" x14ac:dyDescent="0.3">
      <c r="A45" s="67">
        <v>1409</v>
      </c>
      <c r="B45" s="68">
        <v>45268</v>
      </c>
      <c r="C45" s="67">
        <v>8</v>
      </c>
      <c r="D45" s="67" t="s">
        <v>440</v>
      </c>
      <c r="E45" s="67" t="s">
        <v>441</v>
      </c>
      <c r="F45" s="67" t="s">
        <v>442</v>
      </c>
      <c r="G45" s="67" t="s">
        <v>443</v>
      </c>
      <c r="H45" s="67" t="s">
        <v>418</v>
      </c>
      <c r="I45" s="67" t="s">
        <v>444</v>
      </c>
      <c r="J45" s="67" t="s">
        <v>314</v>
      </c>
      <c r="K45" s="68">
        <f t="shared" si="2"/>
        <v>45270</v>
      </c>
      <c r="L45" s="67" t="s">
        <v>445</v>
      </c>
      <c r="M45" s="67" t="s">
        <v>446</v>
      </c>
      <c r="N45" s="67" t="s">
        <v>442</v>
      </c>
      <c r="O45" s="67" t="s">
        <v>443</v>
      </c>
      <c r="P45" s="67" t="s">
        <v>418</v>
      </c>
      <c r="Q45" s="67" t="s">
        <v>514</v>
      </c>
      <c r="R45" s="67" t="s">
        <v>515</v>
      </c>
      <c r="S45" s="69">
        <v>34.799999999999997</v>
      </c>
      <c r="T45" s="67">
        <v>29</v>
      </c>
      <c r="U45" s="69">
        <f t="shared" si="3"/>
        <v>1009.1999999999999</v>
      </c>
      <c r="V45" s="70">
        <v>300.846</v>
      </c>
    </row>
    <row r="46" spans="1:22" ht="15.6" x14ac:dyDescent="0.3">
      <c r="A46" s="67">
        <v>1410</v>
      </c>
      <c r="B46" s="68">
        <v>45264</v>
      </c>
      <c r="C46" s="67">
        <v>4</v>
      </c>
      <c r="D46" s="67" t="s">
        <v>426</v>
      </c>
      <c r="E46" s="67" t="s">
        <v>427</v>
      </c>
      <c r="F46" s="67" t="s">
        <v>428</v>
      </c>
      <c r="G46" s="67" t="s">
        <v>429</v>
      </c>
      <c r="H46" s="67" t="s">
        <v>418</v>
      </c>
      <c r="I46" s="67" t="s">
        <v>430</v>
      </c>
      <c r="J46" s="67" t="s">
        <v>298</v>
      </c>
      <c r="K46" s="68">
        <f t="shared" si="2"/>
        <v>45266</v>
      </c>
      <c r="L46" s="67" t="s">
        <v>445</v>
      </c>
      <c r="M46" s="67" t="s">
        <v>432</v>
      </c>
      <c r="N46" s="67" t="s">
        <v>428</v>
      </c>
      <c r="O46" s="67" t="s">
        <v>429</v>
      </c>
      <c r="P46" s="67" t="s">
        <v>418</v>
      </c>
      <c r="Q46" s="67" t="s">
        <v>514</v>
      </c>
      <c r="R46" s="67" t="s">
        <v>515</v>
      </c>
      <c r="S46" s="69">
        <v>34.799999999999997</v>
      </c>
      <c r="T46" s="67">
        <v>29</v>
      </c>
      <c r="U46" s="69">
        <f t="shared" si="3"/>
        <v>1009.1999999999999</v>
      </c>
      <c r="V46" s="70">
        <v>9</v>
      </c>
    </row>
    <row r="47" spans="1:22" ht="15.6" x14ac:dyDescent="0.3">
      <c r="A47" s="67">
        <v>1411</v>
      </c>
      <c r="B47" s="68">
        <v>45289</v>
      </c>
      <c r="C47" s="67">
        <v>29</v>
      </c>
      <c r="D47" s="67" t="s">
        <v>449</v>
      </c>
      <c r="E47" s="67" t="s">
        <v>450</v>
      </c>
      <c r="F47" s="67" t="s">
        <v>451</v>
      </c>
      <c r="G47" s="67" t="s">
        <v>452</v>
      </c>
      <c r="H47" s="67" t="s">
        <v>418</v>
      </c>
      <c r="I47" s="67" t="s">
        <v>453</v>
      </c>
      <c r="J47" s="67" t="s">
        <v>318</v>
      </c>
      <c r="K47" s="68">
        <f t="shared" si="2"/>
        <v>45291</v>
      </c>
      <c r="L47" s="67" t="s">
        <v>420</v>
      </c>
      <c r="M47" s="67" t="s">
        <v>454</v>
      </c>
      <c r="N47" s="67" t="s">
        <v>451</v>
      </c>
      <c r="O47" s="67" t="s">
        <v>452</v>
      </c>
      <c r="P47" s="67" t="s">
        <v>418</v>
      </c>
      <c r="Q47" s="67" t="s">
        <v>514</v>
      </c>
      <c r="R47" s="67" t="s">
        <v>515</v>
      </c>
      <c r="S47" s="69">
        <v>34.799999999999997</v>
      </c>
      <c r="T47" s="67">
        <v>29</v>
      </c>
      <c r="U47" s="69">
        <f t="shared" si="3"/>
        <v>1009.1999999999999</v>
      </c>
      <c r="V47" s="70">
        <v>23</v>
      </c>
    </row>
    <row r="48" spans="1:22" ht="15.6" x14ac:dyDescent="0.3">
      <c r="A48" s="67">
        <v>1412</v>
      </c>
      <c r="B48" s="68">
        <v>45263</v>
      </c>
      <c r="C48" s="67">
        <v>3</v>
      </c>
      <c r="D48" s="67" t="s">
        <v>457</v>
      </c>
      <c r="E48" s="67" t="s">
        <v>458</v>
      </c>
      <c r="F48" s="67" t="s">
        <v>459</v>
      </c>
      <c r="G48" s="67" t="s">
        <v>460</v>
      </c>
      <c r="H48" s="67" t="s">
        <v>418</v>
      </c>
      <c r="I48" s="67" t="s">
        <v>419</v>
      </c>
      <c r="J48" s="67" t="s">
        <v>318</v>
      </c>
      <c r="K48" s="68">
        <f t="shared" si="2"/>
        <v>45265</v>
      </c>
      <c r="L48" s="67" t="s">
        <v>420</v>
      </c>
      <c r="M48" s="67" t="s">
        <v>461</v>
      </c>
      <c r="N48" s="67" t="s">
        <v>459</v>
      </c>
      <c r="O48" s="67" t="s">
        <v>460</v>
      </c>
      <c r="P48" s="67" t="s">
        <v>418</v>
      </c>
      <c r="Q48" s="67" t="s">
        <v>528</v>
      </c>
      <c r="R48" s="67" t="s">
        <v>493</v>
      </c>
      <c r="S48" s="69">
        <v>10</v>
      </c>
      <c r="T48" s="67">
        <v>49</v>
      </c>
      <c r="U48" s="69">
        <f t="shared" si="3"/>
        <v>490</v>
      </c>
      <c r="V48" s="70">
        <v>90.25</v>
      </c>
    </row>
    <row r="49" spans="1:22" ht="15.6" x14ac:dyDescent="0.3">
      <c r="A49" s="67">
        <v>1413</v>
      </c>
      <c r="B49" s="68">
        <v>45263</v>
      </c>
      <c r="C49" s="67">
        <v>3</v>
      </c>
      <c r="D49" s="67" t="s">
        <v>457</v>
      </c>
      <c r="E49" s="67" t="s">
        <v>458</v>
      </c>
      <c r="F49" s="67" t="s">
        <v>459</v>
      </c>
      <c r="G49" s="67" t="s">
        <v>460</v>
      </c>
      <c r="H49" s="67" t="s">
        <v>418</v>
      </c>
      <c r="I49" s="67" t="s">
        <v>419</v>
      </c>
      <c r="J49" s="67" t="s">
        <v>318</v>
      </c>
      <c r="K49" s="68">
        <f t="shared" si="2"/>
        <v>45265</v>
      </c>
      <c r="L49" s="67" t="s">
        <v>420</v>
      </c>
      <c r="M49" s="67" t="s">
        <v>461</v>
      </c>
      <c r="N49" s="67" t="s">
        <v>459</v>
      </c>
      <c r="O49" s="67" t="s">
        <v>460</v>
      </c>
      <c r="P49" s="67" t="s">
        <v>418</v>
      </c>
      <c r="Q49" s="67" t="s">
        <v>470</v>
      </c>
      <c r="R49" s="67" t="s">
        <v>471</v>
      </c>
      <c r="S49" s="69">
        <v>40</v>
      </c>
      <c r="T49" s="67">
        <v>29</v>
      </c>
      <c r="U49" s="69">
        <f t="shared" si="3"/>
        <v>1160</v>
      </c>
      <c r="V49" s="70">
        <v>239.12</v>
      </c>
    </row>
    <row r="50" spans="1:22" ht="15.6" x14ac:dyDescent="0.3">
      <c r="A50" s="67">
        <v>1414</v>
      </c>
      <c r="B50" s="68">
        <v>45266</v>
      </c>
      <c r="C50" s="67">
        <v>6</v>
      </c>
      <c r="D50" s="67" t="s">
        <v>464</v>
      </c>
      <c r="E50" s="67" t="s">
        <v>465</v>
      </c>
      <c r="F50" s="67" t="s">
        <v>466</v>
      </c>
      <c r="G50" s="67" t="s">
        <v>467</v>
      </c>
      <c r="H50" s="67" t="s">
        <v>418</v>
      </c>
      <c r="I50" s="67" t="s">
        <v>468</v>
      </c>
      <c r="J50" s="67" t="s">
        <v>314</v>
      </c>
      <c r="K50" s="68">
        <f t="shared" si="2"/>
        <v>45268</v>
      </c>
      <c r="L50" s="67" t="s">
        <v>420</v>
      </c>
      <c r="M50" s="67" t="s">
        <v>469</v>
      </c>
      <c r="N50" s="67" t="s">
        <v>466</v>
      </c>
      <c r="O50" s="67" t="s">
        <v>467</v>
      </c>
      <c r="P50" s="67" t="s">
        <v>418</v>
      </c>
      <c r="Q50" s="67" t="s">
        <v>470</v>
      </c>
      <c r="R50" s="67" t="s">
        <v>471</v>
      </c>
      <c r="S50" s="69">
        <v>40</v>
      </c>
      <c r="T50" s="67">
        <v>29</v>
      </c>
      <c r="U50" s="69">
        <f t="shared" si="3"/>
        <v>1160</v>
      </c>
      <c r="V50" s="70">
        <v>31</v>
      </c>
    </row>
    <row r="51" spans="1:22" ht="15.6" x14ac:dyDescent="0.3">
      <c r="A51" s="67">
        <v>1415</v>
      </c>
      <c r="B51" s="68">
        <v>45288</v>
      </c>
      <c r="C51" s="67">
        <v>28</v>
      </c>
      <c r="D51" s="67" t="s">
        <v>472</v>
      </c>
      <c r="E51" s="67" t="s">
        <v>473</v>
      </c>
      <c r="F51" s="67" t="s">
        <v>474</v>
      </c>
      <c r="G51" s="67" t="s">
        <v>475</v>
      </c>
      <c r="H51" s="67" t="s">
        <v>418</v>
      </c>
      <c r="I51" s="67" t="s">
        <v>476</v>
      </c>
      <c r="J51" s="67" t="s">
        <v>316</v>
      </c>
      <c r="K51" s="68">
        <f t="shared" si="2"/>
        <v>45290</v>
      </c>
      <c r="L51" s="67" t="s">
        <v>445</v>
      </c>
      <c r="M51" s="67" t="s">
        <v>477</v>
      </c>
      <c r="N51" s="67" t="s">
        <v>474</v>
      </c>
      <c r="O51" s="67" t="s">
        <v>475</v>
      </c>
      <c r="P51" s="67" t="s">
        <v>418</v>
      </c>
      <c r="Q51" s="67" t="s">
        <v>470</v>
      </c>
      <c r="R51" s="67" t="s">
        <v>471</v>
      </c>
      <c r="S51" s="69">
        <v>40</v>
      </c>
      <c r="T51" s="67">
        <v>29</v>
      </c>
      <c r="U51" s="69">
        <f t="shared" si="3"/>
        <v>1160</v>
      </c>
      <c r="V51" s="70">
        <v>20</v>
      </c>
    </row>
    <row r="52" spans="1:22" ht="15.6" x14ac:dyDescent="0.3">
      <c r="A52" s="67">
        <v>1416</v>
      </c>
      <c r="B52" s="68">
        <v>45268</v>
      </c>
      <c r="C52" s="67">
        <v>8</v>
      </c>
      <c r="D52" s="67" t="s">
        <v>440</v>
      </c>
      <c r="E52" s="67" t="s">
        <v>441</v>
      </c>
      <c r="F52" s="67" t="s">
        <v>442</v>
      </c>
      <c r="G52" s="67" t="s">
        <v>443</v>
      </c>
      <c r="H52" s="67" t="s">
        <v>418</v>
      </c>
      <c r="I52" s="67" t="s">
        <v>444</v>
      </c>
      <c r="J52" s="67" t="s">
        <v>314</v>
      </c>
      <c r="K52" s="68">
        <f t="shared" si="2"/>
        <v>45270</v>
      </c>
      <c r="L52" s="67" t="s">
        <v>445</v>
      </c>
      <c r="M52" s="67" t="s">
        <v>446</v>
      </c>
      <c r="N52" s="67" t="s">
        <v>442</v>
      </c>
      <c r="O52" s="67" t="s">
        <v>443</v>
      </c>
      <c r="P52" s="67" t="s">
        <v>418</v>
      </c>
      <c r="Q52" s="67" t="s">
        <v>470</v>
      </c>
      <c r="R52" s="67" t="s">
        <v>471</v>
      </c>
      <c r="S52" s="69">
        <v>40</v>
      </c>
      <c r="T52" s="67">
        <v>29</v>
      </c>
      <c r="U52" s="69">
        <f t="shared" si="3"/>
        <v>1160</v>
      </c>
      <c r="V52" s="70">
        <v>34</v>
      </c>
    </row>
    <row r="53" spans="1:22" ht="15.6" x14ac:dyDescent="0.3">
      <c r="A53" s="67">
        <v>1417</v>
      </c>
      <c r="B53" s="68">
        <v>45270</v>
      </c>
      <c r="C53" s="67">
        <v>10</v>
      </c>
      <c r="D53" s="67" t="s">
        <v>478</v>
      </c>
      <c r="E53" s="67" t="s">
        <v>479</v>
      </c>
      <c r="F53" s="67" t="s">
        <v>480</v>
      </c>
      <c r="G53" s="67" t="s">
        <v>481</v>
      </c>
      <c r="H53" s="67" t="s">
        <v>418</v>
      </c>
      <c r="I53" s="67" t="s">
        <v>482</v>
      </c>
      <c r="J53" s="67" t="s">
        <v>298</v>
      </c>
      <c r="K53" s="68">
        <f t="shared" si="2"/>
        <v>45272</v>
      </c>
      <c r="L53" s="67" t="s">
        <v>420</v>
      </c>
      <c r="M53" s="67" t="s">
        <v>483</v>
      </c>
      <c r="N53" s="67" t="s">
        <v>480</v>
      </c>
      <c r="O53" s="67" t="s">
        <v>481</v>
      </c>
      <c r="P53" s="67" t="s">
        <v>418</v>
      </c>
      <c r="Q53" s="67" t="s">
        <v>529</v>
      </c>
      <c r="R53" s="67" t="s">
        <v>425</v>
      </c>
      <c r="S53" s="69">
        <v>10</v>
      </c>
      <c r="T53" s="67">
        <v>81</v>
      </c>
      <c r="U53" s="69">
        <f t="shared" si="3"/>
        <v>810</v>
      </c>
      <c r="V53" s="70">
        <v>62.83</v>
      </c>
    </row>
    <row r="54" spans="1:22" ht="15.6" x14ac:dyDescent="0.3">
      <c r="A54" s="67">
        <v>1418</v>
      </c>
      <c r="B54" s="68">
        <v>45267</v>
      </c>
      <c r="C54" s="67">
        <v>7</v>
      </c>
      <c r="D54" s="67" t="s">
        <v>485</v>
      </c>
      <c r="E54" s="67" t="s">
        <v>486</v>
      </c>
      <c r="F54" s="67" t="s">
        <v>487</v>
      </c>
      <c r="G54" s="67" t="s">
        <v>488</v>
      </c>
      <c r="H54" s="67" t="s">
        <v>418</v>
      </c>
      <c r="I54" s="67" t="s">
        <v>444</v>
      </c>
      <c r="J54" s="67" t="s">
        <v>314</v>
      </c>
      <c r="K54" s="68">
        <f t="shared" si="2"/>
        <v>45269</v>
      </c>
      <c r="L54" s="67" t="s">
        <v>420</v>
      </c>
      <c r="M54" s="67" t="s">
        <v>489</v>
      </c>
      <c r="N54" s="67" t="s">
        <v>487</v>
      </c>
      <c r="O54" s="67" t="s">
        <v>488</v>
      </c>
      <c r="P54" s="67" t="s">
        <v>418</v>
      </c>
      <c r="Q54" s="67" t="s">
        <v>529</v>
      </c>
      <c r="R54" s="67" t="s">
        <v>425</v>
      </c>
      <c r="S54" s="69">
        <v>10</v>
      </c>
      <c r="T54" s="67">
        <v>81</v>
      </c>
      <c r="U54" s="69">
        <f t="shared" si="3"/>
        <v>810</v>
      </c>
      <c r="V54" s="70">
        <v>33</v>
      </c>
    </row>
    <row r="55" spans="1:22" ht="15.6" x14ac:dyDescent="0.3">
      <c r="A55" s="67">
        <v>1419</v>
      </c>
      <c r="B55" s="68">
        <v>45270</v>
      </c>
      <c r="C55" s="67">
        <v>10</v>
      </c>
      <c r="D55" s="67" t="s">
        <v>478</v>
      </c>
      <c r="E55" s="67" t="s">
        <v>479</v>
      </c>
      <c r="F55" s="67" t="s">
        <v>480</v>
      </c>
      <c r="G55" s="67" t="s">
        <v>481</v>
      </c>
      <c r="H55" s="67" t="s">
        <v>418</v>
      </c>
      <c r="I55" s="67" t="s">
        <v>482</v>
      </c>
      <c r="J55" s="67" t="s">
        <v>298</v>
      </c>
      <c r="K55" s="68">
        <f t="shared" si="2"/>
        <v>45272</v>
      </c>
      <c r="L55" s="67" t="s">
        <v>431</v>
      </c>
      <c r="M55" s="67" t="s">
        <v>483</v>
      </c>
      <c r="N55" s="67" t="s">
        <v>480</v>
      </c>
      <c r="O55" s="67" t="s">
        <v>481</v>
      </c>
      <c r="P55" s="67" t="s">
        <v>418</v>
      </c>
      <c r="Q55" s="67" t="s">
        <v>424</v>
      </c>
      <c r="R55" s="67" t="s">
        <v>425</v>
      </c>
      <c r="S55" s="69">
        <v>3.5</v>
      </c>
      <c r="T55" s="67">
        <v>96</v>
      </c>
      <c r="U55" s="69">
        <f t="shared" si="3"/>
        <v>336</v>
      </c>
      <c r="V55" s="70">
        <v>21.315000000000001</v>
      </c>
    </row>
    <row r="56" spans="1:22" ht="15.6" x14ac:dyDescent="0.3">
      <c r="A56" s="67">
        <v>1420</v>
      </c>
      <c r="B56" s="68">
        <v>45271</v>
      </c>
      <c r="C56" s="67">
        <v>11</v>
      </c>
      <c r="D56" s="67" t="s">
        <v>494</v>
      </c>
      <c r="E56" s="67" t="s">
        <v>495</v>
      </c>
      <c r="F56" s="67" t="s">
        <v>496</v>
      </c>
      <c r="G56" s="67" t="s">
        <v>497</v>
      </c>
      <c r="H56" s="67" t="s">
        <v>418</v>
      </c>
      <c r="I56" s="67" t="s">
        <v>476</v>
      </c>
      <c r="J56" s="67" t="s">
        <v>316</v>
      </c>
      <c r="K56" s="68">
        <f t="shared" si="2"/>
        <v>45273</v>
      </c>
      <c r="L56" s="67" t="s">
        <v>445</v>
      </c>
      <c r="M56" s="67" t="s">
        <v>498</v>
      </c>
      <c r="N56" s="67" t="s">
        <v>496</v>
      </c>
      <c r="O56" s="67" t="s">
        <v>497</v>
      </c>
      <c r="P56" s="67" t="s">
        <v>418</v>
      </c>
      <c r="Q56" s="67" t="s">
        <v>470</v>
      </c>
      <c r="R56" s="67" t="s">
        <v>471</v>
      </c>
      <c r="S56" s="69">
        <v>40</v>
      </c>
      <c r="T56" s="67">
        <v>81</v>
      </c>
      <c r="U56" s="69">
        <f t="shared" si="3"/>
        <v>3240</v>
      </c>
      <c r="V56" s="70">
        <v>378</v>
      </c>
    </row>
    <row r="57" spans="1:22" ht="15.6" x14ac:dyDescent="0.3">
      <c r="A57" s="67">
        <v>1421</v>
      </c>
      <c r="B57" s="68">
        <v>45261</v>
      </c>
      <c r="C57" s="67">
        <v>1</v>
      </c>
      <c r="D57" s="67" t="s">
        <v>499</v>
      </c>
      <c r="E57" s="67" t="s">
        <v>500</v>
      </c>
      <c r="F57" s="67" t="s">
        <v>501</v>
      </c>
      <c r="G57" s="67" t="s">
        <v>502</v>
      </c>
      <c r="H57" s="67" t="s">
        <v>418</v>
      </c>
      <c r="I57" s="67" t="s">
        <v>444</v>
      </c>
      <c r="J57" s="67" t="s">
        <v>314</v>
      </c>
      <c r="K57" s="68">
        <f t="shared" si="2"/>
        <v>45263</v>
      </c>
      <c r="L57" s="67" t="s">
        <v>445</v>
      </c>
      <c r="M57" s="67" t="s">
        <v>503</v>
      </c>
      <c r="N57" s="67" t="s">
        <v>501</v>
      </c>
      <c r="O57" s="67" t="s">
        <v>502</v>
      </c>
      <c r="P57" s="67" t="s">
        <v>418</v>
      </c>
      <c r="Q57" s="67" t="s">
        <v>504</v>
      </c>
      <c r="R57" s="67" t="s">
        <v>505</v>
      </c>
      <c r="S57" s="69">
        <v>18.399999999999999</v>
      </c>
      <c r="T57" s="67">
        <v>88</v>
      </c>
      <c r="U57" s="69">
        <f t="shared" si="3"/>
        <v>1619.1999999999998</v>
      </c>
      <c r="V57" s="70">
        <v>148.13839999999999</v>
      </c>
    </row>
    <row r="58" spans="1:22" ht="15.6" x14ac:dyDescent="0.3">
      <c r="A58" s="67">
        <v>1422</v>
      </c>
      <c r="B58" s="68">
        <v>45288</v>
      </c>
      <c r="C58" s="67">
        <v>28</v>
      </c>
      <c r="D58" s="67" t="s">
        <v>472</v>
      </c>
      <c r="E58" s="67" t="s">
        <v>473</v>
      </c>
      <c r="F58" s="67" t="s">
        <v>474</v>
      </c>
      <c r="G58" s="67" t="s">
        <v>475</v>
      </c>
      <c r="H58" s="67" t="s">
        <v>418</v>
      </c>
      <c r="I58" s="67" t="s">
        <v>476</v>
      </c>
      <c r="J58" s="67" t="s">
        <v>316</v>
      </c>
      <c r="K58" s="68">
        <f t="shared" si="2"/>
        <v>45290</v>
      </c>
      <c r="L58" s="67" t="s">
        <v>445</v>
      </c>
      <c r="M58" s="67" t="s">
        <v>477</v>
      </c>
      <c r="N58" s="67" t="s">
        <v>474</v>
      </c>
      <c r="O58" s="67" t="s">
        <v>475</v>
      </c>
      <c r="P58" s="67" t="s">
        <v>418</v>
      </c>
      <c r="Q58" s="67" t="s">
        <v>439</v>
      </c>
      <c r="R58" s="67" t="s">
        <v>423</v>
      </c>
      <c r="S58" s="69">
        <v>46</v>
      </c>
      <c r="T58" s="67">
        <v>92</v>
      </c>
      <c r="U58" s="69">
        <f t="shared" si="3"/>
        <v>4232</v>
      </c>
      <c r="V58" s="70">
        <v>365.14800000000002</v>
      </c>
    </row>
    <row r="59" spans="1:22" ht="15.6" x14ac:dyDescent="0.3">
      <c r="A59" s="67">
        <v>1423</v>
      </c>
      <c r="B59" s="68">
        <v>45269</v>
      </c>
      <c r="C59" s="67">
        <v>9</v>
      </c>
      <c r="D59" s="67" t="s">
        <v>506</v>
      </c>
      <c r="E59" s="67" t="s">
        <v>507</v>
      </c>
      <c r="F59" s="67" t="s">
        <v>508</v>
      </c>
      <c r="G59" s="67" t="s">
        <v>509</v>
      </c>
      <c r="H59" s="67" t="s">
        <v>418</v>
      </c>
      <c r="I59" s="67" t="s">
        <v>510</v>
      </c>
      <c r="J59" s="67" t="s">
        <v>318</v>
      </c>
      <c r="K59" s="68">
        <f t="shared" si="2"/>
        <v>45271</v>
      </c>
      <c r="L59" s="67" t="s">
        <v>431</v>
      </c>
      <c r="M59" s="67" t="s">
        <v>511</v>
      </c>
      <c r="N59" s="67" t="s">
        <v>508</v>
      </c>
      <c r="O59" s="67" t="s">
        <v>509</v>
      </c>
      <c r="P59" s="67" t="s">
        <v>418</v>
      </c>
      <c r="Q59" s="67" t="s">
        <v>462</v>
      </c>
      <c r="R59" s="67" t="s">
        <v>463</v>
      </c>
      <c r="S59" s="69">
        <v>9.65</v>
      </c>
      <c r="T59" s="67">
        <v>34</v>
      </c>
      <c r="U59" s="69">
        <f t="shared" si="3"/>
        <v>328.1</v>
      </c>
      <c r="V59" s="70">
        <v>68.582550000000012</v>
      </c>
    </row>
    <row r="60" spans="1:22" ht="15.6" x14ac:dyDescent="0.3">
      <c r="A60" s="67">
        <v>1424</v>
      </c>
      <c r="B60" s="68">
        <v>45266</v>
      </c>
      <c r="C60" s="67">
        <v>6</v>
      </c>
      <c r="D60" s="67" t="s">
        <v>464</v>
      </c>
      <c r="E60" s="67" t="s">
        <v>465</v>
      </c>
      <c r="F60" s="67" t="s">
        <v>466</v>
      </c>
      <c r="G60" s="67" t="s">
        <v>467</v>
      </c>
      <c r="H60" s="67" t="s">
        <v>418</v>
      </c>
      <c r="I60" s="67" t="s">
        <v>468</v>
      </c>
      <c r="J60" s="67" t="s">
        <v>314</v>
      </c>
      <c r="K60" s="68">
        <f t="shared" si="2"/>
        <v>45268</v>
      </c>
      <c r="L60" s="67" t="s">
        <v>420</v>
      </c>
      <c r="M60" s="67" t="s">
        <v>469</v>
      </c>
      <c r="N60" s="67" t="s">
        <v>466</v>
      </c>
      <c r="O60" s="67" t="s">
        <v>467</v>
      </c>
      <c r="P60" s="67" t="s">
        <v>418</v>
      </c>
      <c r="Q60" s="67" t="s">
        <v>455</v>
      </c>
      <c r="R60" s="67" t="s">
        <v>456</v>
      </c>
      <c r="S60" s="69">
        <v>12.75</v>
      </c>
      <c r="T60" s="67">
        <v>41</v>
      </c>
      <c r="U60" s="69">
        <f t="shared" si="3"/>
        <v>522.75</v>
      </c>
      <c r="V60" s="70">
        <v>43.783500000000004</v>
      </c>
    </row>
    <row r="61" spans="1:22" ht="15.6" x14ac:dyDescent="0.3">
      <c r="A61" s="67">
        <v>1425</v>
      </c>
      <c r="B61" s="68">
        <v>45268</v>
      </c>
      <c r="C61" s="67">
        <v>8</v>
      </c>
      <c r="D61" s="67" t="s">
        <v>440</v>
      </c>
      <c r="E61" s="67" t="s">
        <v>441</v>
      </c>
      <c r="F61" s="67" t="s">
        <v>442</v>
      </c>
      <c r="G61" s="67" t="s">
        <v>443</v>
      </c>
      <c r="H61" s="67" t="s">
        <v>418</v>
      </c>
      <c r="I61" s="67" t="s">
        <v>444</v>
      </c>
      <c r="J61" s="67" t="s">
        <v>314</v>
      </c>
      <c r="K61" s="68">
        <f t="shared" si="2"/>
        <v>45270</v>
      </c>
      <c r="L61" s="67" t="s">
        <v>420</v>
      </c>
      <c r="M61" s="67" t="s">
        <v>446</v>
      </c>
      <c r="N61" s="67" t="s">
        <v>442</v>
      </c>
      <c r="O61" s="67" t="s">
        <v>443</v>
      </c>
      <c r="P61" s="67" t="s">
        <v>418</v>
      </c>
      <c r="Q61" s="67" t="s">
        <v>455</v>
      </c>
      <c r="R61" s="67" t="s">
        <v>456</v>
      </c>
      <c r="S61" s="69">
        <v>12.75</v>
      </c>
      <c r="T61" s="67">
        <v>67</v>
      </c>
      <c r="U61" s="69">
        <f t="shared" si="3"/>
        <v>854.25</v>
      </c>
      <c r="V61" s="70">
        <v>82.875</v>
      </c>
    </row>
    <row r="62" spans="1:22" ht="15.6" x14ac:dyDescent="0.3">
      <c r="A62" s="67">
        <v>1426</v>
      </c>
      <c r="B62" s="68">
        <v>45285</v>
      </c>
      <c r="C62" s="67">
        <v>25</v>
      </c>
      <c r="D62" s="67" t="s">
        <v>516</v>
      </c>
      <c r="E62" s="67" t="s">
        <v>517</v>
      </c>
      <c r="F62" s="67" t="s">
        <v>480</v>
      </c>
      <c r="G62" s="67" t="s">
        <v>481</v>
      </c>
      <c r="H62" s="67" t="s">
        <v>418</v>
      </c>
      <c r="I62" s="67" t="s">
        <v>482</v>
      </c>
      <c r="J62" s="67" t="s">
        <v>298</v>
      </c>
      <c r="K62" s="68">
        <f t="shared" si="2"/>
        <v>45287</v>
      </c>
      <c r="L62" s="67" t="s">
        <v>431</v>
      </c>
      <c r="M62" s="67" t="s">
        <v>518</v>
      </c>
      <c r="N62" s="67" t="s">
        <v>480</v>
      </c>
      <c r="O62" s="67" t="s">
        <v>481</v>
      </c>
      <c r="P62" s="67" t="s">
        <v>418</v>
      </c>
      <c r="Q62" s="67" t="s">
        <v>492</v>
      </c>
      <c r="R62" s="67" t="s">
        <v>493</v>
      </c>
      <c r="S62" s="69">
        <v>22</v>
      </c>
      <c r="T62" s="67">
        <v>74</v>
      </c>
      <c r="U62" s="69">
        <f t="shared" si="3"/>
        <v>1628</v>
      </c>
      <c r="V62" s="70">
        <v>84.47999999999999</v>
      </c>
    </row>
    <row r="63" spans="1:22" ht="15.6" x14ac:dyDescent="0.3">
      <c r="A63" s="67">
        <v>1427</v>
      </c>
      <c r="B63" s="68">
        <v>45286</v>
      </c>
      <c r="C63" s="67">
        <v>26</v>
      </c>
      <c r="D63" s="67" t="s">
        <v>520</v>
      </c>
      <c r="E63" s="67" t="s">
        <v>521</v>
      </c>
      <c r="F63" s="67" t="s">
        <v>496</v>
      </c>
      <c r="G63" s="67" t="s">
        <v>497</v>
      </c>
      <c r="H63" s="67" t="s">
        <v>418</v>
      </c>
      <c r="I63" s="67" t="s">
        <v>476</v>
      </c>
      <c r="J63" s="67" t="s">
        <v>316</v>
      </c>
      <c r="K63" s="68">
        <f t="shared" si="2"/>
        <v>45288</v>
      </c>
      <c r="L63" s="67" t="s">
        <v>445</v>
      </c>
      <c r="M63" s="67" t="s">
        <v>522</v>
      </c>
      <c r="N63" s="67" t="s">
        <v>496</v>
      </c>
      <c r="O63" s="67" t="s">
        <v>497</v>
      </c>
      <c r="P63" s="67" t="s">
        <v>418</v>
      </c>
      <c r="Q63" s="67" t="s">
        <v>490</v>
      </c>
      <c r="R63" s="67" t="s">
        <v>491</v>
      </c>
      <c r="S63" s="69">
        <v>25</v>
      </c>
      <c r="T63" s="67">
        <v>24</v>
      </c>
      <c r="U63" s="69">
        <f t="shared" si="3"/>
        <v>600</v>
      </c>
      <c r="V63" s="70">
        <v>164.15</v>
      </c>
    </row>
    <row r="64" spans="1:22" ht="15.6" x14ac:dyDescent="0.3">
      <c r="A64" s="67">
        <v>1428</v>
      </c>
      <c r="B64" s="68">
        <v>45289</v>
      </c>
      <c r="C64" s="67">
        <v>29</v>
      </c>
      <c r="D64" s="67" t="s">
        <v>449</v>
      </c>
      <c r="E64" s="67" t="s">
        <v>450</v>
      </c>
      <c r="F64" s="67" t="s">
        <v>451</v>
      </c>
      <c r="G64" s="67" t="s">
        <v>452</v>
      </c>
      <c r="H64" s="67" t="s">
        <v>418</v>
      </c>
      <c r="I64" s="67" t="s">
        <v>453</v>
      </c>
      <c r="J64" s="67" t="s">
        <v>318</v>
      </c>
      <c r="K64" s="68">
        <f t="shared" si="2"/>
        <v>45291</v>
      </c>
      <c r="L64" s="67" t="s">
        <v>420</v>
      </c>
      <c r="M64" s="67" t="s">
        <v>454</v>
      </c>
      <c r="N64" s="67" t="s">
        <v>451</v>
      </c>
      <c r="O64" s="67" t="s">
        <v>452</v>
      </c>
      <c r="P64" s="67" t="s">
        <v>418</v>
      </c>
      <c r="Q64" s="67" t="s">
        <v>530</v>
      </c>
      <c r="R64" s="67" t="s">
        <v>531</v>
      </c>
      <c r="S64" s="69">
        <v>39</v>
      </c>
      <c r="T64" s="67">
        <v>41</v>
      </c>
      <c r="U64" s="69">
        <f t="shared" si="3"/>
        <v>1599</v>
      </c>
      <c r="V64" s="70">
        <v>193.01100000000002</v>
      </c>
    </row>
    <row r="65" spans="1:22" ht="15.6" x14ac:dyDescent="0.3">
      <c r="A65" s="67">
        <v>1429</v>
      </c>
      <c r="B65" s="68">
        <v>45266</v>
      </c>
      <c r="C65" s="67">
        <v>6</v>
      </c>
      <c r="D65" s="67" t="s">
        <v>464</v>
      </c>
      <c r="E65" s="67" t="s">
        <v>465</v>
      </c>
      <c r="F65" s="67" t="s">
        <v>466</v>
      </c>
      <c r="G65" s="67" t="s">
        <v>467</v>
      </c>
      <c r="H65" s="67" t="s">
        <v>418</v>
      </c>
      <c r="I65" s="67" t="s">
        <v>468</v>
      </c>
      <c r="J65" s="67" t="s">
        <v>314</v>
      </c>
      <c r="K65" s="68">
        <f t="shared" si="2"/>
        <v>45268</v>
      </c>
      <c r="L65" s="67" t="s">
        <v>445</v>
      </c>
      <c r="M65" s="67" t="s">
        <v>469</v>
      </c>
      <c r="N65" s="67" t="s">
        <v>466</v>
      </c>
      <c r="O65" s="67" t="s">
        <v>467</v>
      </c>
      <c r="P65" s="67" t="s">
        <v>418</v>
      </c>
      <c r="Q65" s="67" t="s">
        <v>433</v>
      </c>
      <c r="R65" s="67" t="s">
        <v>425</v>
      </c>
      <c r="S65" s="69">
        <v>30</v>
      </c>
      <c r="T65" s="67">
        <v>12</v>
      </c>
      <c r="U65" s="69">
        <f t="shared" si="3"/>
        <v>360</v>
      </c>
      <c r="V65" s="70">
        <v>200.85</v>
      </c>
    </row>
    <row r="66" spans="1:22" ht="15.6" x14ac:dyDescent="0.3">
      <c r="A66" s="67">
        <v>1430</v>
      </c>
      <c r="B66" s="68">
        <v>45266</v>
      </c>
      <c r="C66" s="67">
        <v>6</v>
      </c>
      <c r="D66" s="67" t="s">
        <v>464</v>
      </c>
      <c r="E66" s="67" t="s">
        <v>465</v>
      </c>
      <c r="F66" s="67" t="s">
        <v>466</v>
      </c>
      <c r="G66" s="67" t="s">
        <v>467</v>
      </c>
      <c r="H66" s="67" t="s">
        <v>418</v>
      </c>
      <c r="I66" s="67" t="s">
        <v>468</v>
      </c>
      <c r="J66" s="67" t="s">
        <v>314</v>
      </c>
      <c r="K66" s="68">
        <f t="shared" si="2"/>
        <v>45268</v>
      </c>
      <c r="L66" s="67" t="s">
        <v>445</v>
      </c>
      <c r="M66" s="67" t="s">
        <v>469</v>
      </c>
      <c r="N66" s="67" t="s">
        <v>466</v>
      </c>
      <c r="O66" s="67" t="s">
        <v>467</v>
      </c>
      <c r="P66" s="67" t="s">
        <v>418</v>
      </c>
      <c r="Q66" s="67" t="s">
        <v>434</v>
      </c>
      <c r="R66" s="67" t="s">
        <v>425</v>
      </c>
      <c r="S66" s="69">
        <v>53</v>
      </c>
      <c r="T66" s="67">
        <v>68</v>
      </c>
      <c r="U66" s="69">
        <f t="shared" si="3"/>
        <v>3604</v>
      </c>
      <c r="V66" s="70">
        <v>225.62100000000001</v>
      </c>
    </row>
    <row r="67" spans="1:22" ht="15.6" x14ac:dyDescent="0.3">
      <c r="A67" s="67">
        <v>1431</v>
      </c>
      <c r="B67" s="68">
        <v>45264</v>
      </c>
      <c r="C67" s="67">
        <v>4</v>
      </c>
      <c r="D67" s="67" t="s">
        <v>426</v>
      </c>
      <c r="E67" s="67" t="s">
        <v>427</v>
      </c>
      <c r="F67" s="67" t="s">
        <v>428</v>
      </c>
      <c r="G67" s="67" t="s">
        <v>429</v>
      </c>
      <c r="H67" s="67" t="s">
        <v>418</v>
      </c>
      <c r="I67" s="67" t="s">
        <v>430</v>
      </c>
      <c r="J67" s="67" t="s">
        <v>298</v>
      </c>
      <c r="K67" s="68">
        <f t="shared" si="2"/>
        <v>45266</v>
      </c>
      <c r="L67" s="67" t="s">
        <v>445</v>
      </c>
      <c r="M67" s="67" t="s">
        <v>432</v>
      </c>
      <c r="N67" s="67" t="s">
        <v>428</v>
      </c>
      <c r="O67" s="67" t="s">
        <v>429</v>
      </c>
      <c r="P67" s="67" t="s">
        <v>418</v>
      </c>
      <c r="Q67" s="67" t="s">
        <v>532</v>
      </c>
      <c r="R67" s="67" t="s">
        <v>513</v>
      </c>
      <c r="S67" s="69">
        <v>38</v>
      </c>
      <c r="T67" s="67">
        <v>33</v>
      </c>
      <c r="U67" s="69">
        <f t="shared" si="3"/>
        <v>1254</v>
      </c>
      <c r="V67" s="70">
        <v>175.02800000000002</v>
      </c>
    </row>
    <row r="68" spans="1:22" ht="15.6" x14ac:dyDescent="0.3">
      <c r="A68" s="67">
        <v>1432</v>
      </c>
      <c r="B68" s="68">
        <v>45263</v>
      </c>
      <c r="C68" s="67">
        <v>3</v>
      </c>
      <c r="D68" s="67" t="s">
        <v>457</v>
      </c>
      <c r="E68" s="67" t="s">
        <v>458</v>
      </c>
      <c r="F68" s="67" t="s">
        <v>459</v>
      </c>
      <c r="G68" s="67" t="s">
        <v>460</v>
      </c>
      <c r="H68" s="67" t="s">
        <v>418</v>
      </c>
      <c r="I68" s="67" t="s">
        <v>419</v>
      </c>
      <c r="J68" s="67" t="s">
        <v>318</v>
      </c>
      <c r="K68" s="68">
        <f t="shared" si="2"/>
        <v>45265</v>
      </c>
      <c r="L68" s="67" t="s">
        <v>445</v>
      </c>
      <c r="M68" s="67" t="s">
        <v>461</v>
      </c>
      <c r="N68" s="67" t="s">
        <v>459</v>
      </c>
      <c r="O68" s="67" t="s">
        <v>460</v>
      </c>
      <c r="P68" s="67" t="s">
        <v>418</v>
      </c>
      <c r="Q68" s="67" t="s">
        <v>484</v>
      </c>
      <c r="R68" s="67" t="s">
        <v>423</v>
      </c>
      <c r="S68" s="69">
        <v>2.99</v>
      </c>
      <c r="T68" s="67">
        <v>12</v>
      </c>
      <c r="U68" s="69">
        <f t="shared" ref="U68:U99" si="4">S68*T68</f>
        <v>35.880000000000003</v>
      </c>
      <c r="V68" s="70">
        <v>17.042999999999999</v>
      </c>
    </row>
  </sheetData>
  <autoFilter ref="A3:W68" xr:uid="{00000000-0009-0000-0000-000009000000}">
    <sortState xmlns:xlrd2="http://schemas.microsoft.com/office/spreadsheetml/2017/richdata2" ref="A4:W68">
      <sortCondition ref="A3:A68"/>
    </sortState>
  </autoFilter>
  <mergeCells count="1">
    <mergeCell ref="A1:D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BE20A-38B6-4126-963F-0F41956830BB}">
  <dimension ref="A1:M51"/>
  <sheetViews>
    <sheetView workbookViewId="0">
      <selection activeCell="F4" sqref="F4"/>
    </sheetView>
  </sheetViews>
  <sheetFormatPr defaultRowHeight="15.6" x14ac:dyDescent="0.3"/>
  <cols>
    <col min="1" max="1" width="10.1640625" customWidth="1"/>
    <col min="2" max="2" width="6.6640625" bestFit="1" customWidth="1"/>
    <col min="3" max="3" width="8.4140625" bestFit="1" customWidth="1"/>
    <col min="4" max="4" width="10" bestFit="1" customWidth="1"/>
    <col min="13" max="13" width="9.1640625" customWidth="1"/>
  </cols>
  <sheetData>
    <row r="1" spans="1:13" ht="23.4" x14ac:dyDescent="0.45">
      <c r="A1" s="29" t="s">
        <v>533</v>
      </c>
    </row>
    <row r="3" spans="1:13" ht="18" x14ac:dyDescent="0.35">
      <c r="A3" s="36" t="s">
        <v>534</v>
      </c>
      <c r="B3" s="36" t="s">
        <v>335</v>
      </c>
      <c r="C3" s="36" t="s">
        <v>535</v>
      </c>
      <c r="D3" s="36" t="s">
        <v>536</v>
      </c>
      <c r="I3" s="37"/>
      <c r="J3" s="93" t="s">
        <v>537</v>
      </c>
      <c r="K3" s="93"/>
      <c r="L3" s="93"/>
      <c r="M3" s="93"/>
    </row>
    <row r="4" spans="1:13" ht="18" x14ac:dyDescent="0.35">
      <c r="A4" s="38" t="s">
        <v>538</v>
      </c>
      <c r="B4" s="38" t="s">
        <v>539</v>
      </c>
      <c r="C4" s="39">
        <v>44286</v>
      </c>
      <c r="D4" s="40">
        <v>1242677</v>
      </c>
      <c r="I4" s="41">
        <v>1</v>
      </c>
      <c r="J4" s="94" t="s">
        <v>540</v>
      </c>
      <c r="K4" s="94"/>
      <c r="L4" s="94"/>
      <c r="M4" s="94"/>
    </row>
    <row r="5" spans="1:13" ht="18" x14ac:dyDescent="0.35">
      <c r="A5" s="38" t="s">
        <v>538</v>
      </c>
      <c r="B5" s="38" t="s">
        <v>541</v>
      </c>
      <c r="C5" s="39">
        <v>44286</v>
      </c>
      <c r="D5" s="40">
        <v>921439</v>
      </c>
      <c r="I5" s="41">
        <v>2</v>
      </c>
      <c r="J5" s="42" t="s">
        <v>542</v>
      </c>
      <c r="K5" s="42"/>
      <c r="L5" s="42"/>
      <c r="M5" s="42"/>
    </row>
    <row r="6" spans="1:13" ht="18" x14ac:dyDescent="0.35">
      <c r="A6" s="38" t="s">
        <v>538</v>
      </c>
      <c r="B6" s="38" t="s">
        <v>543</v>
      </c>
      <c r="C6" s="39">
        <v>44286</v>
      </c>
      <c r="D6" s="40">
        <v>1349854</v>
      </c>
      <c r="I6" s="41">
        <v>3</v>
      </c>
      <c r="J6" s="94" t="s">
        <v>544</v>
      </c>
      <c r="K6" s="94"/>
      <c r="L6" s="94"/>
      <c r="M6" s="94"/>
    </row>
    <row r="7" spans="1:13" ht="18" x14ac:dyDescent="0.35">
      <c r="A7" s="38" t="s">
        <v>538</v>
      </c>
      <c r="B7" s="38" t="s">
        <v>545</v>
      </c>
      <c r="C7" s="39">
        <v>44286</v>
      </c>
      <c r="D7" s="40">
        <v>1104078</v>
      </c>
      <c r="I7" s="41">
        <v>4</v>
      </c>
      <c r="J7" s="94" t="s">
        <v>546</v>
      </c>
      <c r="K7" s="94"/>
      <c r="L7" s="94"/>
      <c r="M7" s="94"/>
    </row>
    <row r="8" spans="1:13" ht="18" x14ac:dyDescent="0.35">
      <c r="A8" s="38" t="s">
        <v>538</v>
      </c>
      <c r="B8" s="38" t="s">
        <v>539</v>
      </c>
      <c r="C8" s="39">
        <v>44377</v>
      </c>
      <c r="D8" s="40">
        <v>856808</v>
      </c>
      <c r="I8" s="41">
        <v>5</v>
      </c>
      <c r="J8" s="94" t="s">
        <v>547</v>
      </c>
      <c r="K8" s="94"/>
      <c r="L8" s="94"/>
      <c r="M8" s="94"/>
    </row>
    <row r="9" spans="1:13" ht="18" x14ac:dyDescent="0.35">
      <c r="A9" s="38" t="s">
        <v>538</v>
      </c>
      <c r="B9" s="38" t="s">
        <v>541</v>
      </c>
      <c r="C9" s="39">
        <v>44377</v>
      </c>
      <c r="D9" s="40">
        <v>1449931</v>
      </c>
      <c r="I9" s="37"/>
      <c r="J9" s="43"/>
      <c r="K9" s="43"/>
      <c r="L9" s="43"/>
      <c r="M9" s="43"/>
    </row>
    <row r="10" spans="1:13" ht="18" x14ac:dyDescent="0.35">
      <c r="A10" s="38" t="s">
        <v>538</v>
      </c>
      <c r="B10" s="38" t="s">
        <v>543</v>
      </c>
      <c r="C10" s="39">
        <v>44377</v>
      </c>
      <c r="D10" s="40">
        <v>906792</v>
      </c>
      <c r="I10" s="37"/>
      <c r="J10" s="90" t="s">
        <v>285</v>
      </c>
      <c r="K10" s="90"/>
      <c r="L10" s="90"/>
      <c r="M10" s="44"/>
    </row>
    <row r="11" spans="1:13" ht="18" x14ac:dyDescent="0.35">
      <c r="A11" s="38" t="s">
        <v>538</v>
      </c>
      <c r="B11" s="38" t="s">
        <v>545</v>
      </c>
      <c r="C11" s="39">
        <v>44377</v>
      </c>
      <c r="D11" s="40">
        <v>945886</v>
      </c>
      <c r="I11" s="37"/>
      <c r="J11" s="90" t="s">
        <v>548</v>
      </c>
      <c r="K11" s="90"/>
      <c r="L11" s="90"/>
      <c r="M11" s="44"/>
    </row>
    <row r="12" spans="1:13" ht="18" x14ac:dyDescent="0.35">
      <c r="A12" s="38" t="s">
        <v>538</v>
      </c>
      <c r="B12" s="38" t="s">
        <v>539</v>
      </c>
      <c r="C12" s="39">
        <v>44469</v>
      </c>
      <c r="D12" s="40">
        <v>1309137</v>
      </c>
      <c r="I12" s="37"/>
      <c r="J12" s="90" t="s">
        <v>549</v>
      </c>
      <c r="K12" s="90"/>
      <c r="L12" s="90"/>
      <c r="M12" s="44"/>
    </row>
    <row r="13" spans="1:13" ht="18.75" customHeight="1" x14ac:dyDescent="0.35">
      <c r="A13" s="38" t="s">
        <v>538</v>
      </c>
      <c r="B13" s="38" t="s">
        <v>541</v>
      </c>
      <c r="C13" s="39">
        <v>44469</v>
      </c>
      <c r="D13" s="40">
        <v>1216894</v>
      </c>
      <c r="I13" s="37"/>
      <c r="J13" s="91" t="s">
        <v>550</v>
      </c>
      <c r="K13" s="91"/>
      <c r="L13" s="91"/>
      <c r="M13" s="92"/>
    </row>
    <row r="14" spans="1:13" ht="18.75" customHeight="1" x14ac:dyDescent="0.35">
      <c r="A14" s="38" t="s">
        <v>538</v>
      </c>
      <c r="B14" s="38" t="s">
        <v>543</v>
      </c>
      <c r="C14" s="39">
        <v>44469</v>
      </c>
      <c r="D14" s="40">
        <v>1331072</v>
      </c>
      <c r="I14" s="37"/>
      <c r="J14" s="91"/>
      <c r="K14" s="91"/>
      <c r="L14" s="91"/>
      <c r="M14" s="92"/>
    </row>
    <row r="15" spans="1:13" ht="18" x14ac:dyDescent="0.35">
      <c r="A15" s="38" t="s">
        <v>538</v>
      </c>
      <c r="B15" s="38" t="s">
        <v>545</v>
      </c>
      <c r="C15" s="39">
        <v>44469</v>
      </c>
      <c r="D15" s="40">
        <v>1431195</v>
      </c>
      <c r="I15" s="37"/>
      <c r="J15" s="91"/>
      <c r="K15" s="91"/>
      <c r="L15" s="91"/>
      <c r="M15" s="92"/>
    </row>
    <row r="16" spans="1:13" x14ac:dyDescent="0.3">
      <c r="A16" s="38" t="s">
        <v>551</v>
      </c>
      <c r="B16" s="38" t="s">
        <v>539</v>
      </c>
      <c r="C16" s="39">
        <v>44286</v>
      </c>
      <c r="D16" s="40">
        <v>907526</v>
      </c>
      <c r="J16" s="91"/>
      <c r="K16" s="91"/>
      <c r="L16" s="91"/>
      <c r="M16" s="92"/>
    </row>
    <row r="17" spans="1:13" x14ac:dyDescent="0.3">
      <c r="A17" s="38" t="s">
        <v>551</v>
      </c>
      <c r="B17" s="38" t="s">
        <v>541</v>
      </c>
      <c r="C17" s="39">
        <v>44286</v>
      </c>
      <c r="D17" s="40">
        <v>1191364</v>
      </c>
      <c r="J17" s="91"/>
      <c r="K17" s="91"/>
      <c r="L17" s="91"/>
      <c r="M17" s="92"/>
    </row>
    <row r="18" spans="1:13" x14ac:dyDescent="0.3">
      <c r="A18" s="38" t="s">
        <v>551</v>
      </c>
      <c r="B18" s="38" t="s">
        <v>543</v>
      </c>
      <c r="C18" s="39">
        <v>44286</v>
      </c>
      <c r="D18" s="40">
        <v>1227391</v>
      </c>
    </row>
    <row r="19" spans="1:13" x14ac:dyDescent="0.3">
      <c r="A19" s="38" t="s">
        <v>551</v>
      </c>
      <c r="B19" s="38" t="s">
        <v>545</v>
      </c>
      <c r="C19" s="39">
        <v>44286</v>
      </c>
      <c r="D19" s="40">
        <v>1332342</v>
      </c>
    </row>
    <row r="20" spans="1:13" x14ac:dyDescent="0.3">
      <c r="A20" s="38" t="s">
        <v>551</v>
      </c>
      <c r="B20" s="38" t="s">
        <v>539</v>
      </c>
      <c r="C20" s="39">
        <v>44377</v>
      </c>
      <c r="D20" s="40">
        <v>1269010</v>
      </c>
    </row>
    <row r="21" spans="1:13" x14ac:dyDescent="0.3">
      <c r="A21" s="38" t="s">
        <v>551</v>
      </c>
      <c r="B21" s="38" t="s">
        <v>541</v>
      </c>
      <c r="C21" s="39">
        <v>44377</v>
      </c>
      <c r="D21" s="40">
        <v>994590</v>
      </c>
    </row>
    <row r="22" spans="1:13" x14ac:dyDescent="0.3">
      <c r="A22" s="38" t="s">
        <v>551</v>
      </c>
      <c r="B22" s="38" t="s">
        <v>543</v>
      </c>
      <c r="C22" s="39">
        <v>44377</v>
      </c>
      <c r="D22" s="40">
        <v>894997</v>
      </c>
    </row>
    <row r="23" spans="1:13" x14ac:dyDescent="0.3">
      <c r="A23" s="38" t="s">
        <v>551</v>
      </c>
      <c r="B23" s="38" t="s">
        <v>545</v>
      </c>
      <c r="C23" s="39">
        <v>44377</v>
      </c>
      <c r="D23" s="40">
        <v>904338</v>
      </c>
    </row>
    <row r="24" spans="1:13" x14ac:dyDescent="0.3">
      <c r="A24" s="38" t="s">
        <v>551</v>
      </c>
      <c r="B24" s="38" t="s">
        <v>539</v>
      </c>
      <c r="C24" s="39">
        <v>44469</v>
      </c>
      <c r="D24" s="40">
        <v>962731</v>
      </c>
    </row>
    <row r="25" spans="1:13" x14ac:dyDescent="0.3">
      <c r="A25" s="38" t="s">
        <v>551</v>
      </c>
      <c r="B25" s="38" t="s">
        <v>541</v>
      </c>
      <c r="C25" s="39">
        <v>44469</v>
      </c>
      <c r="D25" s="40">
        <v>953786</v>
      </c>
    </row>
    <row r="26" spans="1:13" x14ac:dyDescent="0.3">
      <c r="A26" s="38" t="s">
        <v>551</v>
      </c>
      <c r="B26" s="38" t="s">
        <v>543</v>
      </c>
      <c r="C26" s="39">
        <v>44469</v>
      </c>
      <c r="D26" s="40">
        <v>1419314</v>
      </c>
    </row>
    <row r="27" spans="1:13" x14ac:dyDescent="0.3">
      <c r="A27" s="38" t="s">
        <v>551</v>
      </c>
      <c r="B27" s="38" t="s">
        <v>545</v>
      </c>
      <c r="C27" s="39">
        <v>44469</v>
      </c>
      <c r="D27" s="40">
        <v>1436093</v>
      </c>
    </row>
    <row r="28" spans="1:13" x14ac:dyDescent="0.3">
      <c r="A28" s="38" t="s">
        <v>552</v>
      </c>
      <c r="B28" s="38" t="s">
        <v>539</v>
      </c>
      <c r="C28" s="39">
        <v>44286</v>
      </c>
      <c r="D28" s="40">
        <v>1068137</v>
      </c>
    </row>
    <row r="29" spans="1:13" x14ac:dyDescent="0.3">
      <c r="A29" s="38" t="s">
        <v>552</v>
      </c>
      <c r="B29" s="38" t="s">
        <v>541</v>
      </c>
      <c r="C29" s="39">
        <v>44286</v>
      </c>
      <c r="D29" s="40">
        <v>1250695</v>
      </c>
    </row>
    <row r="30" spans="1:13" x14ac:dyDescent="0.3">
      <c r="A30" s="38" t="s">
        <v>552</v>
      </c>
      <c r="B30" s="38" t="s">
        <v>543</v>
      </c>
      <c r="C30" s="39">
        <v>44286</v>
      </c>
      <c r="D30" s="40">
        <v>898949</v>
      </c>
    </row>
    <row r="31" spans="1:13" x14ac:dyDescent="0.3">
      <c r="A31" s="38" t="s">
        <v>552</v>
      </c>
      <c r="B31" s="38" t="s">
        <v>545</v>
      </c>
      <c r="C31" s="39">
        <v>44286</v>
      </c>
      <c r="D31" s="40">
        <v>1213455</v>
      </c>
    </row>
    <row r="32" spans="1:13" x14ac:dyDescent="0.3">
      <c r="A32" s="38" t="s">
        <v>552</v>
      </c>
      <c r="B32" s="38" t="s">
        <v>539</v>
      </c>
      <c r="C32" s="39">
        <v>44377</v>
      </c>
      <c r="D32" s="40">
        <v>1164510</v>
      </c>
    </row>
    <row r="33" spans="1:4" x14ac:dyDescent="0.3">
      <c r="A33" s="38" t="s">
        <v>552</v>
      </c>
      <c r="B33" s="38" t="s">
        <v>541</v>
      </c>
      <c r="C33" s="39">
        <v>44377</v>
      </c>
      <c r="D33" s="40">
        <v>1163870</v>
      </c>
    </row>
    <row r="34" spans="1:4" x14ac:dyDescent="0.3">
      <c r="A34" s="38" t="s">
        <v>552</v>
      </c>
      <c r="B34" s="38" t="s">
        <v>543</v>
      </c>
      <c r="C34" s="39">
        <v>44377</v>
      </c>
      <c r="D34" s="40">
        <v>906880</v>
      </c>
    </row>
    <row r="35" spans="1:4" x14ac:dyDescent="0.3">
      <c r="A35" s="38" t="s">
        <v>552</v>
      </c>
      <c r="B35" s="38" t="s">
        <v>545</v>
      </c>
      <c r="C35" s="39">
        <v>44377</v>
      </c>
      <c r="D35" s="40">
        <v>894539</v>
      </c>
    </row>
    <row r="36" spans="1:4" x14ac:dyDescent="0.3">
      <c r="A36" s="38" t="s">
        <v>552</v>
      </c>
      <c r="B36" s="38" t="s">
        <v>539</v>
      </c>
      <c r="C36" s="39">
        <v>44469</v>
      </c>
      <c r="D36" s="40">
        <v>913945</v>
      </c>
    </row>
    <row r="37" spans="1:4" x14ac:dyDescent="0.3">
      <c r="A37" s="38" t="s">
        <v>552</v>
      </c>
      <c r="B37" s="38" t="s">
        <v>541</v>
      </c>
      <c r="C37" s="39">
        <v>44469</v>
      </c>
      <c r="D37" s="40">
        <v>1440870</v>
      </c>
    </row>
    <row r="38" spans="1:4" x14ac:dyDescent="0.3">
      <c r="A38" s="38" t="s">
        <v>552</v>
      </c>
      <c r="B38" s="38" t="s">
        <v>543</v>
      </c>
      <c r="C38" s="39">
        <v>44469</v>
      </c>
      <c r="D38" s="40">
        <v>1280710</v>
      </c>
    </row>
    <row r="39" spans="1:4" x14ac:dyDescent="0.3">
      <c r="A39" s="38" t="s">
        <v>552</v>
      </c>
      <c r="B39" s="38" t="s">
        <v>545</v>
      </c>
      <c r="C39" s="39">
        <v>44469</v>
      </c>
      <c r="D39" s="40">
        <v>1023357</v>
      </c>
    </row>
    <row r="40" spans="1:4" x14ac:dyDescent="0.3">
      <c r="A40" s="38" t="s">
        <v>553</v>
      </c>
      <c r="B40" s="38" t="s">
        <v>539</v>
      </c>
      <c r="C40" s="39">
        <v>44286</v>
      </c>
      <c r="D40" s="40">
        <v>1499269</v>
      </c>
    </row>
    <row r="41" spans="1:4" x14ac:dyDescent="0.3">
      <c r="A41" s="38" t="s">
        <v>553</v>
      </c>
      <c r="B41" s="38" t="s">
        <v>541</v>
      </c>
      <c r="C41" s="39">
        <v>44286</v>
      </c>
      <c r="D41" s="40">
        <v>970517</v>
      </c>
    </row>
    <row r="42" spans="1:4" x14ac:dyDescent="0.3">
      <c r="A42" s="38" t="s">
        <v>553</v>
      </c>
      <c r="B42" s="38" t="s">
        <v>543</v>
      </c>
      <c r="C42" s="39">
        <v>44286</v>
      </c>
      <c r="D42" s="40">
        <v>1141777</v>
      </c>
    </row>
    <row r="43" spans="1:4" x14ac:dyDescent="0.3">
      <c r="A43" s="38" t="s">
        <v>553</v>
      </c>
      <c r="B43" s="38" t="s">
        <v>545</v>
      </c>
      <c r="C43" s="39">
        <v>44286</v>
      </c>
      <c r="D43" s="40">
        <v>856208</v>
      </c>
    </row>
    <row r="44" spans="1:4" x14ac:dyDescent="0.3">
      <c r="A44" s="38" t="s">
        <v>553</v>
      </c>
      <c r="B44" s="38" t="s">
        <v>539</v>
      </c>
      <c r="C44" s="39">
        <v>44377</v>
      </c>
      <c r="D44" s="40">
        <v>1064145</v>
      </c>
    </row>
    <row r="45" spans="1:4" x14ac:dyDescent="0.3">
      <c r="A45" s="38" t="s">
        <v>553</v>
      </c>
      <c r="B45" s="38" t="s">
        <v>541</v>
      </c>
      <c r="C45" s="39">
        <v>44377</v>
      </c>
      <c r="D45" s="40">
        <v>955424</v>
      </c>
    </row>
    <row r="46" spans="1:4" x14ac:dyDescent="0.3">
      <c r="A46" s="38" t="s">
        <v>553</v>
      </c>
      <c r="B46" s="38" t="s">
        <v>543</v>
      </c>
      <c r="C46" s="39">
        <v>44377</v>
      </c>
      <c r="D46" s="40">
        <v>903006</v>
      </c>
    </row>
    <row r="47" spans="1:4" x14ac:dyDescent="0.3">
      <c r="A47" s="38" t="s">
        <v>553</v>
      </c>
      <c r="B47" s="38" t="s">
        <v>545</v>
      </c>
      <c r="C47" s="39">
        <v>44377</v>
      </c>
      <c r="D47" s="40">
        <v>1420494</v>
      </c>
    </row>
    <row r="48" spans="1:4" x14ac:dyDescent="0.3">
      <c r="A48" s="38" t="s">
        <v>553</v>
      </c>
      <c r="B48" s="38" t="s">
        <v>539</v>
      </c>
      <c r="C48" s="39">
        <v>44469</v>
      </c>
      <c r="D48" s="40">
        <v>1267870</v>
      </c>
    </row>
    <row r="49" spans="1:4" x14ac:dyDescent="0.3">
      <c r="A49" s="38" t="s">
        <v>553</v>
      </c>
      <c r="B49" s="38" t="s">
        <v>541</v>
      </c>
      <c r="C49" s="39">
        <v>44469</v>
      </c>
      <c r="D49" s="40">
        <v>1013266</v>
      </c>
    </row>
    <row r="50" spans="1:4" x14ac:dyDescent="0.3">
      <c r="A50" s="38" t="s">
        <v>553</v>
      </c>
      <c r="B50" s="38" t="s">
        <v>543</v>
      </c>
      <c r="C50" s="39">
        <v>44469</v>
      </c>
      <c r="D50" s="40">
        <v>1416121</v>
      </c>
    </row>
    <row r="51" spans="1:4" x14ac:dyDescent="0.3">
      <c r="A51" s="38" t="s">
        <v>553</v>
      </c>
      <c r="B51" s="38" t="s">
        <v>545</v>
      </c>
      <c r="C51" s="39">
        <v>44469</v>
      </c>
      <c r="D51" s="40">
        <v>1261584</v>
      </c>
    </row>
  </sheetData>
  <mergeCells count="10">
    <mergeCell ref="J11:L11"/>
    <mergeCell ref="J12:L12"/>
    <mergeCell ref="J13:L17"/>
    <mergeCell ref="M13:M17"/>
    <mergeCell ref="J3:M3"/>
    <mergeCell ref="J4:M4"/>
    <mergeCell ref="J6:M6"/>
    <mergeCell ref="J7:M7"/>
    <mergeCell ref="J8:M8"/>
    <mergeCell ref="J10:L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9FF9DF5BCFFD42A0D5617B9D18FB89" ma:contentTypeVersion="4" ma:contentTypeDescription="Create a new document." ma:contentTypeScope="" ma:versionID="2841934f81bc4cfb900570f79c0532cd">
  <xsd:schema xmlns:xsd="http://www.w3.org/2001/XMLSchema" xmlns:xs="http://www.w3.org/2001/XMLSchema" xmlns:p="http://schemas.microsoft.com/office/2006/metadata/properties" xmlns:ns2="84d60d80-5f5b-4137-9f7f-aa35e391db8c" targetNamespace="http://schemas.microsoft.com/office/2006/metadata/properties" ma:root="true" ma:fieldsID="3a3ea369e37df7e9f5c63e773dc1f009" ns2:_="">
    <xsd:import namespace="84d60d80-5f5b-4137-9f7f-aa35e391db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d60d80-5f5b-4137-9f7f-aa35e391db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9C79389-DA5A-450D-A9C7-83EECC9CAC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d60d80-5f5b-4137-9f7f-aa35e391db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72FE5B-C55C-4229-B71A-733BF9A518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52C49F-E698-4713-96B0-4D2413E9132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Creating Tables</vt:lpstr>
      <vt:lpstr>Conditional Format</vt:lpstr>
      <vt:lpstr>IF Function</vt:lpstr>
      <vt:lpstr>Database Functions</vt:lpstr>
      <vt:lpstr>Unique</vt:lpstr>
      <vt:lpstr>SORT FUNCTION</vt:lpstr>
      <vt:lpstr>FILTER FUNCTION</vt:lpstr>
      <vt:lpstr>Charts</vt:lpstr>
      <vt:lpstr>Sparklines</vt:lpstr>
      <vt:lpstr>Pivot Table Diagram</vt:lpstr>
      <vt:lpstr>Data</vt:lpstr>
      <vt:lpstr>LAB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Karim Faz</dc:creator>
  <cp:keywords/>
  <dc:description/>
  <cp:lastModifiedBy>Vepuri, Gopi Sai</cp:lastModifiedBy>
  <cp:revision/>
  <dcterms:created xsi:type="dcterms:W3CDTF">2019-02-03T23:14:41Z</dcterms:created>
  <dcterms:modified xsi:type="dcterms:W3CDTF">2026-06-24T19:28:14Z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0x0101008D9FF9DF5BCFFD42A0D5617B9D18FB89</vt:lpwstr>
  </property>
</Properties>
</file>